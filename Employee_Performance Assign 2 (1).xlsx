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0475F378-5DCA-4045-AF6A-991EAAC48247}" xr6:coauthVersionLast="47" xr6:coauthVersionMax="47" xr10:uidLastSave="{00000000-0000-0000-0000-000000000000}"/>
  <bookViews>
    <workbookView xWindow="-110" yWindow="-110" windowWidth="19420" windowHeight="10300" xr2:uid="{00000000-000D-0000-FFFF-FFFF00000000}"/>
  </bookViews>
  <sheets>
    <sheet name="Pivot Table" sheetId="7" r:id="rId1"/>
    <sheet name="Original Data" sheetId="1" r:id="rId2"/>
    <sheet name="Dashboard" sheetId="8" r:id="rId3"/>
  </sheets>
  <definedNames>
    <definedName name="Slicer_Column6">#N/A</definedName>
    <definedName name="Slicer_Column7">#N/A</definedName>
  </definedNames>
  <calcPr calcId="181029"/>
  <pivotCaches>
    <pivotCache cacheId="2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<sst xmlns="http://schemas.openxmlformats.org/spreadsheetml/2006/main" count="517" uniqueCount="138">
  <si>
    <t>Employee_ID</t>
  </si>
  <si>
    <t>Employee_Name</t>
  </si>
  <si>
    <t>Department</t>
  </si>
  <si>
    <t>Job_Level</t>
  </si>
  <si>
    <t>Hire_Date</t>
  </si>
  <si>
    <t>Monthly_Salary</t>
  </si>
  <si>
    <t>Performance_Score</t>
  </si>
  <si>
    <t>Work_Location</t>
  </si>
  <si>
    <t>EMP102</t>
  </si>
  <si>
    <t>Ngozi Nwosu</t>
  </si>
  <si>
    <t>Finance</t>
  </si>
  <si>
    <t>13/06/2021</t>
  </si>
  <si>
    <t>Abuja</t>
  </si>
  <si>
    <t>EMP131</t>
  </si>
  <si>
    <t>Chinedu Eze</t>
  </si>
  <si>
    <t>Operations</t>
  </si>
  <si>
    <t>Mid-Level</t>
  </si>
  <si>
    <t>EMP129</t>
  </si>
  <si>
    <t xml:space="preserve"> Ada Okeke</t>
  </si>
  <si>
    <t>Junior</t>
  </si>
  <si>
    <t>Remote</t>
  </si>
  <si>
    <t>EMP130</t>
  </si>
  <si>
    <t>Lagos</t>
  </si>
  <si>
    <t>EMP112</t>
  </si>
  <si>
    <t xml:space="preserve">Ibrahim Lawal </t>
  </si>
  <si>
    <t>03/02/2023</t>
  </si>
  <si>
    <t>EMP137</t>
  </si>
  <si>
    <t>HR</t>
  </si>
  <si>
    <t>EMP121</t>
  </si>
  <si>
    <t>IT</t>
  </si>
  <si>
    <t>EMP116</t>
  </si>
  <si>
    <t xml:space="preserve"> Sophia Kim</t>
  </si>
  <si>
    <t>EMP128</t>
  </si>
  <si>
    <t xml:space="preserve">Michael Brown </t>
  </si>
  <si>
    <t>21/08/2021</t>
  </si>
  <si>
    <t>Samuel Ade</t>
  </si>
  <si>
    <t>EMP123</t>
  </si>
  <si>
    <t>Senior</t>
  </si>
  <si>
    <t>EMP138</t>
  </si>
  <si>
    <t>EMP139</t>
  </si>
  <si>
    <t>EMP107</t>
  </si>
  <si>
    <t xml:space="preserve"> Daniel Johnson</t>
  </si>
  <si>
    <t>28/12/2021</t>
  </si>
  <si>
    <t>EMP133</t>
  </si>
  <si>
    <t>EMP106</t>
  </si>
  <si>
    <t>EMP104</t>
  </si>
  <si>
    <t>21/09/2018</t>
  </si>
  <si>
    <t>EMP113</t>
  </si>
  <si>
    <t>EMP119</t>
  </si>
  <si>
    <t>Zainab Ali</t>
  </si>
  <si>
    <t>EMP124</t>
  </si>
  <si>
    <t>EMP117</t>
  </si>
  <si>
    <t xml:space="preserve"> Grace Musa</t>
  </si>
  <si>
    <t>EMP127</t>
  </si>
  <si>
    <t>11/11/2022</t>
  </si>
  <si>
    <t>EMP126</t>
  </si>
  <si>
    <t>25/01/2023</t>
  </si>
  <si>
    <t>EMP109</t>
  </si>
  <si>
    <t>02/01/2021</t>
  </si>
  <si>
    <t>EMP105</t>
  </si>
  <si>
    <t>18/12/2018</t>
  </si>
  <si>
    <t>EMP120</t>
  </si>
  <si>
    <t>06/10/2018</t>
  </si>
  <si>
    <t>EMP132</t>
  </si>
  <si>
    <t>06/05/2021</t>
  </si>
  <si>
    <t>19/09/2018</t>
  </si>
  <si>
    <t>26/11/2020</t>
  </si>
  <si>
    <t>EMP103</t>
  </si>
  <si>
    <t>06/06/2018</t>
  </si>
  <si>
    <t>EMP111</t>
  </si>
  <si>
    <t>16/12/2021</t>
  </si>
  <si>
    <t>EMP115</t>
  </si>
  <si>
    <t>23/04/2022</t>
  </si>
  <si>
    <t>25/11/2021</t>
  </si>
  <si>
    <t>EMP135</t>
  </si>
  <si>
    <t>30/01/2021</t>
  </si>
  <si>
    <t>02/02/2021</t>
  </si>
  <si>
    <t>14/09/2018</t>
  </si>
  <si>
    <t>EMP134</t>
  </si>
  <si>
    <t>28/11/2022</t>
  </si>
  <si>
    <t>EMP118</t>
  </si>
  <si>
    <t>20/09/2020</t>
  </si>
  <si>
    <t>15/02/2023</t>
  </si>
  <si>
    <t>EMP110</t>
  </si>
  <si>
    <t>13/09/2022</t>
  </si>
  <si>
    <t>EMP140</t>
  </si>
  <si>
    <t>04/10/2019</t>
  </si>
  <si>
    <t>Column1</t>
  </si>
  <si>
    <t>Column2</t>
  </si>
  <si>
    <t>Column3</t>
  </si>
  <si>
    <t>Column4</t>
  </si>
  <si>
    <t>Column5</t>
  </si>
  <si>
    <t>Column6</t>
  </si>
  <si>
    <t>Column7</t>
  </si>
  <si>
    <t>Column8</t>
  </si>
  <si>
    <t>Sophia Kim</t>
  </si>
  <si>
    <t xml:space="preserve">HR </t>
  </si>
  <si>
    <t xml:space="preserve">Operations </t>
  </si>
  <si>
    <t>Mid-level</t>
  </si>
  <si>
    <t xml:space="preserve">Junior </t>
  </si>
  <si>
    <t>10/26/2020</t>
  </si>
  <si>
    <t>03/16/2021</t>
  </si>
  <si>
    <t>10/29/2018</t>
  </si>
  <si>
    <t>06/29/2019</t>
  </si>
  <si>
    <t>07/19/2021</t>
  </si>
  <si>
    <t>11/28/2020</t>
  </si>
  <si>
    <t>07/31/2019</t>
  </si>
  <si>
    <t>04/22/2019</t>
  </si>
  <si>
    <t>10/24/2022</t>
  </si>
  <si>
    <t>06/24/2019</t>
  </si>
  <si>
    <t>06/24/2020</t>
  </si>
  <si>
    <t>03/15/2019</t>
  </si>
  <si>
    <t>03/22/2022</t>
  </si>
  <si>
    <t>12/27/2018</t>
  </si>
  <si>
    <t xml:space="preserve">Remote </t>
  </si>
  <si>
    <t xml:space="preserve">Abuja </t>
  </si>
  <si>
    <t>N/A</t>
  </si>
  <si>
    <t>12/16/2021</t>
  </si>
  <si>
    <t>08/15/2018</t>
  </si>
  <si>
    <t>12/17/2019</t>
  </si>
  <si>
    <t>03/23/2022</t>
  </si>
  <si>
    <t>06/23/2021</t>
  </si>
  <si>
    <t>02/16/2019</t>
  </si>
  <si>
    <t>07/20/2021</t>
  </si>
  <si>
    <t>02/28/2018</t>
  </si>
  <si>
    <t>11/25/2019</t>
  </si>
  <si>
    <t>Row Labels</t>
  </si>
  <si>
    <t>Grand Total</t>
  </si>
  <si>
    <t>Count of Column6</t>
  </si>
  <si>
    <t>Max of Column6</t>
  </si>
  <si>
    <t>Lowest Monthly Salary</t>
  </si>
  <si>
    <t>Min of Column6</t>
  </si>
  <si>
    <t>Count of Column7</t>
  </si>
  <si>
    <t>Count of Column2</t>
  </si>
  <si>
    <t>Highest Monthly salary</t>
  </si>
  <si>
    <t>Highest Performance Score</t>
  </si>
  <si>
    <t>Employees In Work Location</t>
  </si>
  <si>
    <r>
      <rPr>
        <b/>
        <sz val="11"/>
        <color theme="1"/>
        <rFont val="Calibri"/>
        <family val="2"/>
        <scheme val="minor"/>
      </rPr>
      <t>Highest</t>
    </r>
    <r>
      <rPr>
        <sz val="11"/>
        <color theme="1"/>
        <rFont val="Calibri"/>
        <family val="2"/>
        <scheme val="minor"/>
      </rPr>
      <t xml:space="preserve"> </t>
    </r>
    <r>
      <rPr>
        <b/>
        <sz val="11"/>
        <color theme="1"/>
        <rFont val="Calibri"/>
        <family val="2"/>
        <scheme val="minor"/>
      </rPr>
      <t>Paid</t>
    </r>
    <r>
      <rPr>
        <sz val="11"/>
        <color theme="1"/>
        <rFont val="Calibri"/>
        <family val="2"/>
        <scheme val="minor"/>
      </rPr>
      <t xml:space="preserve"> </t>
    </r>
    <r>
      <rPr>
        <b/>
        <sz val="11"/>
        <color theme="1"/>
        <rFont val="Calibri"/>
        <family val="2"/>
        <scheme val="minor"/>
      </rPr>
      <t>Job</t>
    </r>
    <r>
      <rPr>
        <sz val="11"/>
        <color theme="1"/>
        <rFont val="Calibri"/>
        <family val="2"/>
        <scheme val="minor"/>
      </rPr>
      <t xml:space="preserve"> </t>
    </r>
    <r>
      <rPr>
        <b/>
        <sz val="11"/>
        <color theme="1"/>
        <rFont val="Calibri"/>
        <family val="2"/>
        <scheme val="minor"/>
      </rPr>
      <t>Level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</si>
</sst>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2" fontId="0" fillId="0" borderId="0" xfId="0" applyNumberFormat="1"/>
    <xf numFmtId="0" fontId="1" fillId="0" borderId="0" xfId="0" applyFont="1"/>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9" defaultPivotStyle="PivotStyleLight16">
    <tableStyle name="Invisible" pivot="0" table="0" count="0" xr9:uid="{DE571789-FF39-480D-8469-38552D9AB8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Table'!$A$15:$A$23</c:f>
              <c:strCache>
                <c:ptCount val="8"/>
                <c:pt idx="0">
                  <c:v>Department</c:v>
                </c:pt>
                <c:pt idx="1">
                  <c:v>HR </c:v>
                </c:pt>
                <c:pt idx="2">
                  <c:v>Operations</c:v>
                </c:pt>
                <c:pt idx="3">
                  <c:v>Operations </c:v>
                </c:pt>
                <c:pt idx="4">
                  <c:v>N/A</c:v>
                </c:pt>
                <c:pt idx="5">
                  <c:v>HR</c:v>
                </c:pt>
                <c:pt idx="6">
                  <c:v>Finance</c:v>
                </c:pt>
                <c:pt idx="7">
                  <c:v>IT</c:v>
                </c:pt>
              </c:strCache>
            </c:strRef>
          </c:cat>
          <c:val>
            <c:numRef>
              <c:f>'Pivot Table'!$B$15:$B$23</c:f>
              <c:numCache>
                <c:formatCode>General</c:formatCode>
                <c:ptCount val="8"/>
                <c:pt idx="0">
                  <c:v>1</c:v>
                </c:pt>
                <c:pt idx="1">
                  <c:v>7</c:v>
                </c:pt>
                <c:pt idx="2">
                  <c:v>7</c:v>
                </c:pt>
                <c:pt idx="3">
                  <c:v>8</c:v>
                </c:pt>
                <c:pt idx="4">
                  <c:v>9</c:v>
                </c:pt>
                <c:pt idx="5">
                  <c:v>11</c:v>
                </c:pt>
                <c:pt idx="6">
                  <c:v>20</c:v>
                </c:pt>
                <c:pt idx="7">
                  <c:v>22</c:v>
                </c:pt>
              </c:numCache>
            </c:numRef>
          </c:val>
          <c:extLst>
            <c:ext xmlns:c16="http://schemas.microsoft.com/office/drawing/2014/chart" uri="{C3380CC4-5D6E-409C-BE32-E72D297353CC}">
              <c16:uniqueId val="{00000000-1407-47BC-B852-7F8EBEBF8326}"/>
            </c:ext>
          </c:extLst>
        </c:ser>
        <c:dLbls>
          <c:showLegendKey val="0"/>
          <c:showVal val="0"/>
          <c:showCatName val="0"/>
          <c:showSerName val="0"/>
          <c:showPercent val="0"/>
          <c:showBubbleSize val="0"/>
        </c:dLbls>
        <c:gapWidth val="219"/>
        <c:overlap val="-27"/>
        <c:axId val="174651024"/>
        <c:axId val="174630384"/>
      </c:barChart>
      <c:catAx>
        <c:axId val="1746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630384"/>
        <c:crosses val="autoZero"/>
        <c:auto val="1"/>
        <c:lblAlgn val="ctr"/>
        <c:lblOffset val="100"/>
        <c:noMultiLvlLbl val="0"/>
      </c:catAx>
      <c:valAx>
        <c:axId val="1746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65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location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Table'!$A$29:$A$33</c:f>
              <c:strCache>
                <c:ptCount val="4"/>
                <c:pt idx="0">
                  <c:v>Work_Location</c:v>
                </c:pt>
                <c:pt idx="1">
                  <c:v>Remote </c:v>
                </c:pt>
                <c:pt idx="2">
                  <c:v>Abuja </c:v>
                </c:pt>
                <c:pt idx="3">
                  <c:v>Lagos</c:v>
                </c:pt>
              </c:strCache>
            </c:strRef>
          </c:cat>
          <c:val>
            <c:numRef>
              <c:f>'Pivot Table'!$B$29:$B$33</c:f>
              <c:numCache>
                <c:formatCode>General</c:formatCode>
                <c:ptCount val="4"/>
                <c:pt idx="0">
                  <c:v>1</c:v>
                </c:pt>
                <c:pt idx="1">
                  <c:v>13</c:v>
                </c:pt>
                <c:pt idx="2">
                  <c:v>14</c:v>
                </c:pt>
                <c:pt idx="3">
                  <c:v>25</c:v>
                </c:pt>
              </c:numCache>
            </c:numRef>
          </c:val>
          <c:extLst>
            <c:ext xmlns:c16="http://schemas.microsoft.com/office/drawing/2014/chart" uri="{C3380CC4-5D6E-409C-BE32-E72D297353CC}">
              <c16:uniqueId val="{00000000-9331-475A-B73C-D8E877A7665D}"/>
            </c:ext>
          </c:extLst>
        </c:ser>
        <c:dLbls>
          <c:showLegendKey val="0"/>
          <c:showVal val="0"/>
          <c:showCatName val="0"/>
          <c:showSerName val="0"/>
          <c:showPercent val="0"/>
          <c:showBubbleSize val="0"/>
        </c:dLbls>
        <c:gapWidth val="182"/>
        <c:axId val="242515504"/>
        <c:axId val="242485744"/>
      </c:barChart>
      <c:catAx>
        <c:axId val="24251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2485744"/>
        <c:crosses val="autoZero"/>
        <c:auto val="1"/>
        <c:lblAlgn val="ctr"/>
        <c:lblOffset val="100"/>
        <c:noMultiLvlLbl val="0"/>
      </c:catAx>
      <c:valAx>
        <c:axId val="24248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251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paying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 Table'!$A$39:$A$44</c:f>
              <c:strCache>
                <c:ptCount val="5"/>
                <c:pt idx="0">
                  <c:v>Job_Level</c:v>
                </c:pt>
                <c:pt idx="1">
                  <c:v>Junior </c:v>
                </c:pt>
                <c:pt idx="2">
                  <c:v>Junior</c:v>
                </c:pt>
                <c:pt idx="3">
                  <c:v>Mid-level</c:v>
                </c:pt>
                <c:pt idx="4">
                  <c:v>Senior</c:v>
                </c:pt>
              </c:strCache>
            </c:strRef>
          </c:cat>
          <c:val>
            <c:numRef>
              <c:f>'Pivot Table'!$B$39:$B$44</c:f>
              <c:numCache>
                <c:formatCode>General</c:formatCode>
                <c:ptCount val="5"/>
                <c:pt idx="0">
                  <c:v>1</c:v>
                </c:pt>
                <c:pt idx="1">
                  <c:v>16</c:v>
                </c:pt>
                <c:pt idx="2">
                  <c:v>17</c:v>
                </c:pt>
                <c:pt idx="3">
                  <c:v>25</c:v>
                </c:pt>
                <c:pt idx="4">
                  <c:v>26</c:v>
                </c:pt>
              </c:numCache>
            </c:numRef>
          </c:val>
          <c:extLst>
            <c:ext xmlns:c16="http://schemas.microsoft.com/office/drawing/2014/chart" uri="{C3380CC4-5D6E-409C-BE32-E72D297353CC}">
              <c16:uniqueId val="{00000000-27D5-4CF6-8AE2-3AD9F456121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Table'!$A$15:$A$23</c:f>
              <c:strCache>
                <c:ptCount val="8"/>
                <c:pt idx="0">
                  <c:v>Department</c:v>
                </c:pt>
                <c:pt idx="1">
                  <c:v>HR </c:v>
                </c:pt>
                <c:pt idx="2">
                  <c:v>Operations</c:v>
                </c:pt>
                <c:pt idx="3">
                  <c:v>Operations </c:v>
                </c:pt>
                <c:pt idx="4">
                  <c:v>N/A</c:v>
                </c:pt>
                <c:pt idx="5">
                  <c:v>HR</c:v>
                </c:pt>
                <c:pt idx="6">
                  <c:v>Finance</c:v>
                </c:pt>
                <c:pt idx="7">
                  <c:v>IT</c:v>
                </c:pt>
              </c:strCache>
            </c:strRef>
          </c:cat>
          <c:val>
            <c:numRef>
              <c:f>'Pivot Table'!$B$15:$B$23</c:f>
              <c:numCache>
                <c:formatCode>General</c:formatCode>
                <c:ptCount val="8"/>
                <c:pt idx="0">
                  <c:v>1</c:v>
                </c:pt>
                <c:pt idx="1">
                  <c:v>7</c:v>
                </c:pt>
                <c:pt idx="2">
                  <c:v>7</c:v>
                </c:pt>
                <c:pt idx="3">
                  <c:v>8</c:v>
                </c:pt>
                <c:pt idx="4">
                  <c:v>9</c:v>
                </c:pt>
                <c:pt idx="5">
                  <c:v>11</c:v>
                </c:pt>
                <c:pt idx="6">
                  <c:v>20</c:v>
                </c:pt>
                <c:pt idx="7">
                  <c:v>22</c:v>
                </c:pt>
              </c:numCache>
            </c:numRef>
          </c:val>
          <c:extLst>
            <c:ext xmlns:c16="http://schemas.microsoft.com/office/drawing/2014/chart" uri="{C3380CC4-5D6E-409C-BE32-E72D297353CC}">
              <c16:uniqueId val="{00000000-51A6-4C1E-8E80-3C443FB09760}"/>
            </c:ext>
          </c:extLst>
        </c:ser>
        <c:dLbls>
          <c:showLegendKey val="0"/>
          <c:showVal val="0"/>
          <c:showCatName val="0"/>
          <c:showSerName val="0"/>
          <c:showPercent val="0"/>
          <c:showBubbleSize val="0"/>
        </c:dLbls>
        <c:gapWidth val="219"/>
        <c:overlap val="-27"/>
        <c:axId val="174651024"/>
        <c:axId val="174630384"/>
      </c:barChart>
      <c:catAx>
        <c:axId val="17465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630384"/>
        <c:crosses val="autoZero"/>
        <c:auto val="1"/>
        <c:lblAlgn val="ctr"/>
        <c:lblOffset val="100"/>
        <c:noMultiLvlLbl val="0"/>
      </c:catAx>
      <c:valAx>
        <c:axId val="1746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465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a:t>
            </a:r>
            <a:r>
              <a:rPr lang="en-US" baseline="0"/>
              <a:t> location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solidFill>
              <a:schemeClr val="accent1"/>
            </a:solidFill>
            <a:ln>
              <a:noFill/>
            </a:ln>
            <a:effectLst/>
          </c:spPr>
          <c:invertIfNegative val="0"/>
          <c:cat>
            <c:strRef>
              <c:f>'Pivot Table'!$A$29:$A$33</c:f>
              <c:strCache>
                <c:ptCount val="4"/>
                <c:pt idx="0">
                  <c:v>Work_Location</c:v>
                </c:pt>
                <c:pt idx="1">
                  <c:v>Remote </c:v>
                </c:pt>
                <c:pt idx="2">
                  <c:v>Abuja </c:v>
                </c:pt>
                <c:pt idx="3">
                  <c:v>Lagos</c:v>
                </c:pt>
              </c:strCache>
            </c:strRef>
          </c:cat>
          <c:val>
            <c:numRef>
              <c:f>'Pivot Table'!$B$29:$B$33</c:f>
              <c:numCache>
                <c:formatCode>General</c:formatCode>
                <c:ptCount val="4"/>
                <c:pt idx="0">
                  <c:v>1</c:v>
                </c:pt>
                <c:pt idx="1">
                  <c:v>13</c:v>
                </c:pt>
                <c:pt idx="2">
                  <c:v>14</c:v>
                </c:pt>
                <c:pt idx="3">
                  <c:v>25</c:v>
                </c:pt>
              </c:numCache>
            </c:numRef>
          </c:val>
          <c:extLst>
            <c:ext xmlns:c16="http://schemas.microsoft.com/office/drawing/2014/chart" uri="{C3380CC4-5D6E-409C-BE32-E72D297353CC}">
              <c16:uniqueId val="{00000000-2F4B-4440-ACA4-E6DBA296D8D3}"/>
            </c:ext>
          </c:extLst>
        </c:ser>
        <c:dLbls>
          <c:showLegendKey val="0"/>
          <c:showVal val="0"/>
          <c:showCatName val="0"/>
          <c:showSerName val="0"/>
          <c:showPercent val="0"/>
          <c:showBubbleSize val="0"/>
        </c:dLbls>
        <c:gapWidth val="182"/>
        <c:axId val="242515504"/>
        <c:axId val="242485744"/>
      </c:barChart>
      <c:catAx>
        <c:axId val="24251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2485744"/>
        <c:crosses val="autoZero"/>
        <c:auto val="1"/>
        <c:lblAlgn val="ctr"/>
        <c:lblOffset val="100"/>
        <c:noMultiLvlLbl val="0"/>
      </c:catAx>
      <c:valAx>
        <c:axId val="242485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251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 Assign 2 (1).xlsx]Pivot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paying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7600846293105328"/>
          <c:w val="0.74217267754090355"/>
          <c:h val="0.62399153706894672"/>
        </c:manualLayout>
      </c:layout>
      <c:pie3DChart>
        <c:varyColors val="1"/>
        <c:ser>
          <c:idx val="0"/>
          <c:order val="0"/>
          <c:tx>
            <c:strRef>
              <c:f>'Pivot Table'!$B$38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80-4D0C-ACCD-02DE2E11A77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80-4D0C-ACCD-02DE2E11A77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80-4D0C-ACCD-02DE2E11A77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80-4D0C-ACCD-02DE2E11A77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D80-4D0C-ACCD-02DE2E11A775}"/>
              </c:ext>
            </c:extLst>
          </c:dPt>
          <c:cat>
            <c:strRef>
              <c:f>'Pivot Table'!$A$39:$A$44</c:f>
              <c:strCache>
                <c:ptCount val="5"/>
                <c:pt idx="0">
                  <c:v>Job_Level</c:v>
                </c:pt>
                <c:pt idx="1">
                  <c:v>Junior </c:v>
                </c:pt>
                <c:pt idx="2">
                  <c:v>Junior</c:v>
                </c:pt>
                <c:pt idx="3">
                  <c:v>Mid-level</c:v>
                </c:pt>
                <c:pt idx="4">
                  <c:v>Senior</c:v>
                </c:pt>
              </c:strCache>
            </c:strRef>
          </c:cat>
          <c:val>
            <c:numRef>
              <c:f>'Pivot Table'!$B$39:$B$44</c:f>
              <c:numCache>
                <c:formatCode>General</c:formatCode>
                <c:ptCount val="5"/>
                <c:pt idx="0">
                  <c:v>1</c:v>
                </c:pt>
                <c:pt idx="1">
                  <c:v>16</c:v>
                </c:pt>
                <c:pt idx="2">
                  <c:v>17</c:v>
                </c:pt>
                <c:pt idx="3">
                  <c:v>25</c:v>
                </c:pt>
                <c:pt idx="4">
                  <c:v>26</c:v>
                </c:pt>
              </c:numCache>
            </c:numRef>
          </c:val>
          <c:extLst>
            <c:ext xmlns:c16="http://schemas.microsoft.com/office/drawing/2014/chart" uri="{C3380CC4-5D6E-409C-BE32-E72D297353CC}">
              <c16:uniqueId val="{0000000A-7D80-4D0C-ACCD-02DE2E11A7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120650</xdr:colOff>
      <xdr:row>11</xdr:row>
      <xdr:rowOff>6350</xdr:rowOff>
    </xdr:from>
    <xdr:to>
      <xdr:col>8</xdr:col>
      <xdr:colOff>406400</xdr:colOff>
      <xdr:row>23</xdr:row>
      <xdr:rowOff>0</xdr:rowOff>
    </xdr:to>
    <xdr:graphicFrame macro="">
      <xdr:nvGraphicFramePr>
        <xdr:cNvPr id="2" name="Chart 1">
          <a:extLst>
            <a:ext uri="{FF2B5EF4-FFF2-40B4-BE49-F238E27FC236}">
              <a16:creationId xmlns:a16="http://schemas.microsoft.com/office/drawing/2014/main" id="{D9B20412-3B31-E0B5-378C-CCD8F52A7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27</xdr:row>
      <xdr:rowOff>31750</xdr:rowOff>
    </xdr:from>
    <xdr:to>
      <xdr:col>9</xdr:col>
      <xdr:colOff>158750</xdr:colOff>
      <xdr:row>37</xdr:row>
      <xdr:rowOff>127000</xdr:rowOff>
    </xdr:to>
    <xdr:graphicFrame macro="">
      <xdr:nvGraphicFramePr>
        <xdr:cNvPr id="4" name="Chart 3">
          <a:extLst>
            <a:ext uri="{FF2B5EF4-FFF2-40B4-BE49-F238E27FC236}">
              <a16:creationId xmlns:a16="http://schemas.microsoft.com/office/drawing/2014/main" id="{3AD2E4FB-1782-68DC-8D69-03A351561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184150</xdr:colOff>
      <xdr:row>38</xdr:row>
      <xdr:rowOff>107950</xdr:rowOff>
    </xdr:from>
    <xdr:to>
      <xdr:col>8</xdr:col>
      <xdr:colOff>520700</xdr:colOff>
      <xdr:row>51</xdr:row>
      <xdr:rowOff>6350</xdr:rowOff>
    </xdr:to>
    <xdr:graphicFrame macro="">
      <xdr:nvGraphicFramePr>
        <xdr:cNvPr id="5" name="Chart 4">
          <a:extLst>
            <a:ext uri="{FF2B5EF4-FFF2-40B4-BE49-F238E27FC236}">
              <a16:creationId xmlns:a16="http://schemas.microsoft.com/office/drawing/2014/main" id="{9C21FE7A-3526-993C-546D-0CAA46FA1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311150</xdr:colOff>
      <xdr:row>37</xdr:row>
      <xdr:rowOff>57150</xdr:rowOff>
    </xdr:from>
    <xdr:to>
      <xdr:col>12</xdr:col>
      <xdr:colOff>311150</xdr:colOff>
      <xdr:row>51</xdr:row>
      <xdr:rowOff>3175</xdr:rowOff>
    </xdr:to>
    <mc:AlternateContent xmlns:mc="http://schemas.openxmlformats.org/markup-compatibility/2006">
      <mc:Choice xmlns:a14="http://schemas.microsoft.com/office/drawing/2010/main" Requires="a14">
        <xdr:graphicFrame macro="">
          <xdr:nvGraphicFramePr>
            <xdr:cNvPr id="9" name="Column6">
              <a:extLst>
                <a:ext uri="{FF2B5EF4-FFF2-40B4-BE49-F238E27FC236}">
                  <a16:creationId xmlns:a16="http://schemas.microsoft.com/office/drawing/2014/main" id="{9B22778F-D6DC-E335-A86B-F044905530DC}"/>
                </a:ext>
              </a:extLst>
            </xdr:cNvPr>
            <xdr:cNvGraphicFramePr/>
          </xdr:nvGraphicFramePr>
          <xdr:xfrm>
            <a:off x="0" y="0"/>
            <a:ext cx="0" cy="0"/>
          </xdr:xfrm>
          <a:graphic>
            <a:graphicData uri="http://schemas.microsoft.com/office/drawing/2010/slicer">
              <sle:slicer xmlns:sle="http://schemas.microsoft.com/office/drawing/2010/slicer" name="Column6"/>
            </a:graphicData>
          </a:graphic>
        </xdr:graphicFrame>
      </mc:Choice>
      <mc:Fallback>
        <xdr:sp macro="" textlink="">
          <xdr:nvSpPr>
            <xdr:cNvPr id="0" name=""/>
            <xdr:cNvSpPr>
              <a:spLocks noTextEdit="1"/>
            </xdr:cNvSpPr>
          </xdr:nvSpPr>
          <xdr:spPr>
            <a:xfrm>
              <a:off x="6642100" y="68707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577850</xdr:colOff>
      <xdr:row>27</xdr:row>
      <xdr:rowOff>171450</xdr:rowOff>
    </xdr:from>
    <xdr:to>
      <xdr:col>15</xdr:col>
      <xdr:colOff>577850</xdr:colOff>
      <xdr:row>41</xdr:row>
      <xdr:rowOff>117475</xdr:rowOff>
    </xdr:to>
    <mc:AlternateContent xmlns:mc="http://schemas.openxmlformats.org/markup-compatibility/2006">
      <mc:Choice xmlns:a14="http://schemas.microsoft.com/office/drawing/2010/main" Requires="a14">
        <xdr:graphicFrame macro="">
          <xdr:nvGraphicFramePr>
            <xdr:cNvPr id="10" name="Column7">
              <a:extLst>
                <a:ext uri="{FF2B5EF4-FFF2-40B4-BE49-F238E27FC236}">
                  <a16:creationId xmlns:a16="http://schemas.microsoft.com/office/drawing/2014/main" id="{AA7AF2BD-B2B8-1CC7-5CFB-92A0F5F6C440}"/>
                </a:ext>
              </a:extLst>
            </xdr:cNvPr>
            <xdr:cNvGraphicFramePr/>
          </xdr:nvGraphicFramePr>
          <xdr:xfrm>
            <a:off x="0" y="0"/>
            <a:ext cx="0" cy="0"/>
          </xdr:xfrm>
          <a:graphic>
            <a:graphicData uri="http://schemas.microsoft.com/office/drawing/2010/slicer">
              <sle:slicer xmlns:sle="http://schemas.microsoft.com/office/drawing/2010/slicer" name="Column7"/>
            </a:graphicData>
          </a:graphic>
        </xdr:graphicFrame>
      </mc:Choice>
      <mc:Fallback>
        <xdr:sp macro="" textlink="">
          <xdr:nvSpPr>
            <xdr:cNvPr id="0" name=""/>
            <xdr:cNvSpPr>
              <a:spLocks noTextEdit="1"/>
            </xdr:cNvSpPr>
          </xdr:nvSpPr>
          <xdr:spPr>
            <a:xfrm>
              <a:off x="8737600" y="514350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0</xdr:row>
      <xdr:rowOff>25400</xdr:rowOff>
    </xdr:from>
    <xdr:to>
      <xdr:col>4</xdr:col>
      <xdr:colOff>177800</xdr:colOff>
      <xdr:row>32</xdr:row>
      <xdr:rowOff>177800</xdr:rowOff>
    </xdr:to>
    <xdr:sp macro="" textlink="">
      <xdr:nvSpPr>
        <xdr:cNvPr id="2" name="Rectangle 1">
          <a:extLst>
            <a:ext uri="{FF2B5EF4-FFF2-40B4-BE49-F238E27FC236}">
              <a16:creationId xmlns:a16="http://schemas.microsoft.com/office/drawing/2014/main" id="{859C0A3E-295C-69B4-7DE1-993B56B6DE9A}"/>
            </a:ext>
          </a:extLst>
        </xdr:cNvPr>
        <xdr:cNvSpPr/>
      </xdr:nvSpPr>
      <xdr:spPr>
        <a:xfrm>
          <a:off x="685800" y="25400"/>
          <a:ext cx="1930400" cy="6045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215900</xdr:colOff>
      <xdr:row>0</xdr:row>
      <xdr:rowOff>50800</xdr:rowOff>
    </xdr:from>
    <xdr:to>
      <xdr:col>17</xdr:col>
      <xdr:colOff>184150</xdr:colOff>
      <xdr:row>1</xdr:row>
      <xdr:rowOff>38100</xdr:rowOff>
    </xdr:to>
    <xdr:sp macro="" textlink="">
      <xdr:nvSpPr>
        <xdr:cNvPr id="3" name="Rectangle 2">
          <a:extLst>
            <a:ext uri="{FF2B5EF4-FFF2-40B4-BE49-F238E27FC236}">
              <a16:creationId xmlns:a16="http://schemas.microsoft.com/office/drawing/2014/main" id="{3F7E7559-994F-8408-E39F-E02EF967991B}"/>
            </a:ext>
          </a:extLst>
        </xdr:cNvPr>
        <xdr:cNvSpPr/>
      </xdr:nvSpPr>
      <xdr:spPr>
        <a:xfrm>
          <a:off x="2654300" y="50800"/>
          <a:ext cx="7893050" cy="171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215900</xdr:colOff>
      <xdr:row>1</xdr:row>
      <xdr:rowOff>101600</xdr:rowOff>
    </xdr:from>
    <xdr:to>
      <xdr:col>17</xdr:col>
      <xdr:colOff>190500</xdr:colOff>
      <xdr:row>2</xdr:row>
      <xdr:rowOff>139700</xdr:rowOff>
    </xdr:to>
    <xdr:sp macro="" textlink="">
      <xdr:nvSpPr>
        <xdr:cNvPr id="4" name="Rectangle 3">
          <a:extLst>
            <a:ext uri="{FF2B5EF4-FFF2-40B4-BE49-F238E27FC236}">
              <a16:creationId xmlns:a16="http://schemas.microsoft.com/office/drawing/2014/main" id="{5D179416-910E-DB87-2424-B013E030B6CA}"/>
            </a:ext>
          </a:extLst>
        </xdr:cNvPr>
        <xdr:cNvSpPr/>
      </xdr:nvSpPr>
      <xdr:spPr>
        <a:xfrm>
          <a:off x="2654300" y="285750"/>
          <a:ext cx="7899400" cy="2222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n>
                <a:solidFill>
                  <a:schemeClr val="tx1"/>
                </a:solidFill>
              </a:ln>
            </a:rPr>
            <a:t>Employee</a:t>
          </a:r>
          <a:r>
            <a:rPr lang="en-US" sz="1100" baseline="0">
              <a:ln>
                <a:solidFill>
                  <a:schemeClr val="tx1"/>
                </a:solidFill>
              </a:ln>
            </a:rPr>
            <a:t> Performance Dashboard</a:t>
          </a:r>
          <a:endParaRPr lang="en-NG" sz="1100">
            <a:ln>
              <a:solidFill>
                <a:schemeClr val="tx1"/>
              </a:solidFill>
            </a:ln>
          </a:endParaRPr>
        </a:p>
      </xdr:txBody>
    </xdr:sp>
    <xdr:clientData/>
  </xdr:twoCellAnchor>
  <xdr:twoCellAnchor>
    <xdr:from>
      <xdr:col>4</xdr:col>
      <xdr:colOff>209550</xdr:colOff>
      <xdr:row>3</xdr:row>
      <xdr:rowOff>25400</xdr:rowOff>
    </xdr:from>
    <xdr:to>
      <xdr:col>17</xdr:col>
      <xdr:colOff>209550</xdr:colOff>
      <xdr:row>32</xdr:row>
      <xdr:rowOff>177800</xdr:rowOff>
    </xdr:to>
    <xdr:sp macro="" textlink="">
      <xdr:nvSpPr>
        <xdr:cNvPr id="5" name="Rectangle 4">
          <a:extLst>
            <a:ext uri="{FF2B5EF4-FFF2-40B4-BE49-F238E27FC236}">
              <a16:creationId xmlns:a16="http://schemas.microsoft.com/office/drawing/2014/main" id="{6CCCD297-CA6E-728A-DB53-63F8A7D006E5}"/>
            </a:ext>
          </a:extLst>
        </xdr:cNvPr>
        <xdr:cNvSpPr/>
      </xdr:nvSpPr>
      <xdr:spPr>
        <a:xfrm>
          <a:off x="2647950" y="577850"/>
          <a:ext cx="7924800" cy="54927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342900</xdr:colOff>
      <xdr:row>3</xdr:row>
      <xdr:rowOff>152400</xdr:rowOff>
    </xdr:from>
    <xdr:to>
      <xdr:col>7</xdr:col>
      <xdr:colOff>260350</xdr:colOff>
      <xdr:row>8</xdr:row>
      <xdr:rowOff>158750</xdr:rowOff>
    </xdr:to>
    <xdr:sp macro="" textlink="">
      <xdr:nvSpPr>
        <xdr:cNvPr id="6" name="Rectangle 5">
          <a:extLst>
            <a:ext uri="{FF2B5EF4-FFF2-40B4-BE49-F238E27FC236}">
              <a16:creationId xmlns:a16="http://schemas.microsoft.com/office/drawing/2014/main" id="{FE92C151-F435-C241-7E26-5AC84AA3B7C0}"/>
            </a:ext>
          </a:extLst>
        </xdr:cNvPr>
        <xdr:cNvSpPr/>
      </xdr:nvSpPr>
      <xdr:spPr>
        <a:xfrm>
          <a:off x="2781300" y="704850"/>
          <a:ext cx="1746250" cy="9271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412750</xdr:colOff>
      <xdr:row>3</xdr:row>
      <xdr:rowOff>127000</xdr:rowOff>
    </xdr:from>
    <xdr:to>
      <xdr:col>14</xdr:col>
      <xdr:colOff>368300</xdr:colOff>
      <xdr:row>8</xdr:row>
      <xdr:rowOff>171450</xdr:rowOff>
    </xdr:to>
    <xdr:sp macro="" textlink="">
      <xdr:nvSpPr>
        <xdr:cNvPr id="7" name="Rectangle 6">
          <a:extLst>
            <a:ext uri="{FF2B5EF4-FFF2-40B4-BE49-F238E27FC236}">
              <a16:creationId xmlns:a16="http://schemas.microsoft.com/office/drawing/2014/main" id="{8826AA24-9CE0-EBD8-8B53-A2393E81EF07}"/>
            </a:ext>
          </a:extLst>
        </xdr:cNvPr>
        <xdr:cNvSpPr/>
      </xdr:nvSpPr>
      <xdr:spPr>
        <a:xfrm>
          <a:off x="7118350" y="679450"/>
          <a:ext cx="1784350" cy="9652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412750</xdr:colOff>
      <xdr:row>4</xdr:row>
      <xdr:rowOff>25400</xdr:rowOff>
    </xdr:from>
    <xdr:to>
      <xdr:col>7</xdr:col>
      <xdr:colOff>196850</xdr:colOff>
      <xdr:row>5</xdr:row>
      <xdr:rowOff>101600</xdr:rowOff>
    </xdr:to>
    <xdr:sp macro="" textlink="">
      <xdr:nvSpPr>
        <xdr:cNvPr id="10" name="Rectangle 9">
          <a:extLst>
            <a:ext uri="{FF2B5EF4-FFF2-40B4-BE49-F238E27FC236}">
              <a16:creationId xmlns:a16="http://schemas.microsoft.com/office/drawing/2014/main" id="{DBB6FD0E-FACD-D9AC-922D-285CA3B1DE05}"/>
            </a:ext>
          </a:extLst>
        </xdr:cNvPr>
        <xdr:cNvSpPr/>
      </xdr:nvSpPr>
      <xdr:spPr>
        <a:xfrm>
          <a:off x="2851150" y="762000"/>
          <a:ext cx="1612900" cy="2603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n>
                <a:solidFill>
                  <a:schemeClr val="tx1"/>
                </a:solidFill>
              </a:ln>
              <a:solidFill>
                <a:schemeClr val="tx1"/>
              </a:solidFill>
            </a:rPr>
            <a:t>Highest Salary</a:t>
          </a:r>
          <a:endParaRPr lang="en-NG" sz="1100">
            <a:ln>
              <a:solidFill>
                <a:schemeClr val="tx1"/>
              </a:solidFill>
            </a:ln>
            <a:solidFill>
              <a:schemeClr val="tx1"/>
            </a:solidFill>
          </a:endParaRPr>
        </a:p>
      </xdr:txBody>
    </xdr:sp>
    <xdr:clientData/>
  </xdr:twoCellAnchor>
  <xdr:twoCellAnchor>
    <xdr:from>
      <xdr:col>11</xdr:col>
      <xdr:colOff>508000</xdr:colOff>
      <xdr:row>4</xdr:row>
      <xdr:rowOff>0</xdr:rowOff>
    </xdr:from>
    <xdr:to>
      <xdr:col>14</xdr:col>
      <xdr:colOff>292100</xdr:colOff>
      <xdr:row>5</xdr:row>
      <xdr:rowOff>76200</xdr:rowOff>
    </xdr:to>
    <xdr:sp macro="" textlink="">
      <xdr:nvSpPr>
        <xdr:cNvPr id="11" name="Rectangle 10">
          <a:extLst>
            <a:ext uri="{FF2B5EF4-FFF2-40B4-BE49-F238E27FC236}">
              <a16:creationId xmlns:a16="http://schemas.microsoft.com/office/drawing/2014/main" id="{D9841B32-D91B-92FD-4AEE-A5651C3C4B35}"/>
            </a:ext>
          </a:extLst>
        </xdr:cNvPr>
        <xdr:cNvSpPr/>
      </xdr:nvSpPr>
      <xdr:spPr>
        <a:xfrm>
          <a:off x="7213600" y="736600"/>
          <a:ext cx="1612900" cy="2603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n>
                <a:solidFill>
                  <a:schemeClr val="tx1"/>
                </a:solidFill>
              </a:ln>
            </a:rPr>
            <a:t>Lowest Salary</a:t>
          </a:r>
          <a:endParaRPr lang="en-NG" sz="1100">
            <a:ln>
              <a:solidFill>
                <a:schemeClr val="tx1"/>
              </a:solidFill>
            </a:ln>
          </a:endParaRPr>
        </a:p>
      </xdr:txBody>
    </xdr:sp>
    <xdr:clientData/>
  </xdr:twoCellAnchor>
  <xdr:twoCellAnchor>
    <xdr:from>
      <xdr:col>5</xdr:col>
      <xdr:colOff>133350</xdr:colOff>
      <xdr:row>6</xdr:row>
      <xdr:rowOff>25400</xdr:rowOff>
    </xdr:from>
    <xdr:to>
      <xdr:col>6</xdr:col>
      <xdr:colOff>425450</xdr:colOff>
      <xdr:row>8</xdr:row>
      <xdr:rowOff>44450</xdr:rowOff>
    </xdr:to>
    <xdr:sp macro="" textlink="">
      <xdr:nvSpPr>
        <xdr:cNvPr id="12" name="Rectangle 11">
          <a:extLst>
            <a:ext uri="{FF2B5EF4-FFF2-40B4-BE49-F238E27FC236}">
              <a16:creationId xmlns:a16="http://schemas.microsoft.com/office/drawing/2014/main" id="{56044EAC-152C-F02A-AB4C-9A7E1BB191D4}"/>
            </a:ext>
          </a:extLst>
        </xdr:cNvPr>
        <xdr:cNvSpPr/>
      </xdr:nvSpPr>
      <xdr:spPr>
        <a:xfrm>
          <a:off x="3181350" y="1130300"/>
          <a:ext cx="901700" cy="3873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n>
                <a:solidFill>
                  <a:schemeClr val="tx1"/>
                </a:solidFill>
              </a:ln>
            </a:rPr>
            <a:t>838877.7</a:t>
          </a:r>
          <a:endParaRPr lang="en-NG" sz="1100" b="1">
            <a:ln>
              <a:solidFill>
                <a:schemeClr val="tx1"/>
              </a:solidFill>
            </a:ln>
          </a:endParaRPr>
        </a:p>
      </xdr:txBody>
    </xdr:sp>
    <xdr:clientData/>
  </xdr:twoCellAnchor>
  <xdr:twoCellAnchor>
    <xdr:from>
      <xdr:col>12</xdr:col>
      <xdr:colOff>266700</xdr:colOff>
      <xdr:row>6</xdr:row>
      <xdr:rowOff>25400</xdr:rowOff>
    </xdr:from>
    <xdr:to>
      <xdr:col>13</xdr:col>
      <xdr:colOff>558800</xdr:colOff>
      <xdr:row>8</xdr:row>
      <xdr:rowOff>44450</xdr:rowOff>
    </xdr:to>
    <xdr:sp macro="" textlink="">
      <xdr:nvSpPr>
        <xdr:cNvPr id="13" name="Rectangle 12">
          <a:extLst>
            <a:ext uri="{FF2B5EF4-FFF2-40B4-BE49-F238E27FC236}">
              <a16:creationId xmlns:a16="http://schemas.microsoft.com/office/drawing/2014/main" id="{AB38E859-4276-A66F-621A-30E668E3A5FE}"/>
            </a:ext>
          </a:extLst>
        </xdr:cNvPr>
        <xdr:cNvSpPr/>
      </xdr:nvSpPr>
      <xdr:spPr>
        <a:xfrm>
          <a:off x="7581900" y="1130300"/>
          <a:ext cx="901700" cy="3873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cap="none" spc="0">
              <a:ln w="0"/>
              <a:solidFill>
                <a:schemeClr val="tx1"/>
              </a:solidFill>
              <a:effectLst>
                <a:outerShdw blurRad="38100" dist="19050" dir="2700000" algn="tl" rotWithShape="0">
                  <a:schemeClr val="dk1">
                    <a:alpha val="40000"/>
                  </a:schemeClr>
                </a:outerShdw>
              </a:effectLst>
            </a:rPr>
            <a:t>0</a:t>
          </a:r>
          <a:endParaRPr lang="en-NG"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273050</xdr:colOff>
      <xdr:row>9</xdr:row>
      <xdr:rowOff>25400</xdr:rowOff>
    </xdr:from>
    <xdr:to>
      <xdr:col>10</xdr:col>
      <xdr:colOff>38100</xdr:colOff>
      <xdr:row>20</xdr:row>
      <xdr:rowOff>133350</xdr:rowOff>
    </xdr:to>
    <xdr:graphicFrame macro="">
      <xdr:nvGraphicFramePr>
        <xdr:cNvPr id="14" name="Chart 13">
          <a:extLst>
            <a:ext uri="{FF2B5EF4-FFF2-40B4-BE49-F238E27FC236}">
              <a16:creationId xmlns:a16="http://schemas.microsoft.com/office/drawing/2014/main" id="{2B484191-2789-44FB-B2F2-DFF2A5E56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146050</xdr:colOff>
      <xdr:row>9</xdr:row>
      <xdr:rowOff>31750</xdr:rowOff>
    </xdr:from>
    <xdr:to>
      <xdr:col>16</xdr:col>
      <xdr:colOff>387350</xdr:colOff>
      <xdr:row>20</xdr:row>
      <xdr:rowOff>127000</xdr:rowOff>
    </xdr:to>
    <xdr:graphicFrame macro="">
      <xdr:nvGraphicFramePr>
        <xdr:cNvPr id="15" name="Chart 14">
          <a:extLst>
            <a:ext uri="{FF2B5EF4-FFF2-40B4-BE49-F238E27FC236}">
              <a16:creationId xmlns:a16="http://schemas.microsoft.com/office/drawing/2014/main" id="{AAD61E3A-71B9-4985-B0C8-3EBA74808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63500</xdr:colOff>
      <xdr:row>21</xdr:row>
      <xdr:rowOff>114300</xdr:rowOff>
    </xdr:from>
    <xdr:to>
      <xdr:col>13</xdr:col>
      <xdr:colOff>19050</xdr:colOff>
      <xdr:row>32</xdr:row>
      <xdr:rowOff>69850</xdr:rowOff>
    </xdr:to>
    <xdr:graphicFrame macro="">
      <xdr:nvGraphicFramePr>
        <xdr:cNvPr id="16" name="Chart 15">
          <a:extLst>
            <a:ext uri="{FF2B5EF4-FFF2-40B4-BE49-F238E27FC236}">
              <a16:creationId xmlns:a16="http://schemas.microsoft.com/office/drawing/2014/main" id="{36D0F168-0D4B-4409-8D01-914E86D7B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196850</xdr:colOff>
      <xdr:row>13</xdr:row>
      <xdr:rowOff>82550</xdr:rowOff>
    </xdr:from>
    <xdr:to>
      <xdr:col>3</xdr:col>
      <xdr:colOff>285750</xdr:colOff>
      <xdr:row>18</xdr:row>
      <xdr:rowOff>25400</xdr:rowOff>
    </xdr:to>
    <xdr:sp macro="" textlink="">
      <xdr:nvSpPr>
        <xdr:cNvPr id="18" name="Rectangle 17">
          <a:extLst>
            <a:ext uri="{FF2B5EF4-FFF2-40B4-BE49-F238E27FC236}">
              <a16:creationId xmlns:a16="http://schemas.microsoft.com/office/drawing/2014/main" id="{1DFEF359-4EC4-91EE-87C4-AABF4D185453}"/>
            </a:ext>
          </a:extLst>
        </xdr:cNvPr>
        <xdr:cNvSpPr/>
      </xdr:nvSpPr>
      <xdr:spPr>
        <a:xfrm>
          <a:off x="1416050" y="2476500"/>
          <a:ext cx="698500" cy="863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xdr:col>
      <xdr:colOff>133350</xdr:colOff>
      <xdr:row>0</xdr:row>
      <xdr:rowOff>63500</xdr:rowOff>
    </xdr:from>
    <xdr:to>
      <xdr:col>4</xdr:col>
      <xdr:colOff>133350</xdr:colOff>
      <xdr:row>11</xdr:row>
      <xdr:rowOff>107949</xdr:rowOff>
    </xdr:to>
    <mc:AlternateContent xmlns:mc="http://schemas.openxmlformats.org/markup-compatibility/2006">
      <mc:Choice xmlns:a14="http://schemas.microsoft.com/office/drawing/2010/main" Requires="a14">
        <xdr:graphicFrame macro="">
          <xdr:nvGraphicFramePr>
            <xdr:cNvPr id="19" name="Column7 1">
              <a:extLst>
                <a:ext uri="{FF2B5EF4-FFF2-40B4-BE49-F238E27FC236}">
                  <a16:creationId xmlns:a16="http://schemas.microsoft.com/office/drawing/2014/main" id="{071C6FBB-A982-4D15-9471-7898EA9F72DC}"/>
                </a:ext>
              </a:extLst>
            </xdr:cNvPr>
            <xdr:cNvGraphicFramePr/>
          </xdr:nvGraphicFramePr>
          <xdr:xfrm>
            <a:off x="0" y="0"/>
            <a:ext cx="0" cy="0"/>
          </xdr:xfrm>
          <a:graphic>
            <a:graphicData uri="http://schemas.microsoft.com/office/drawing/2010/slicer">
              <sle:slicer xmlns:sle="http://schemas.microsoft.com/office/drawing/2010/slicer" name="Column7 1"/>
            </a:graphicData>
          </a:graphic>
        </xdr:graphicFrame>
      </mc:Choice>
      <mc:Fallback>
        <xdr:sp macro="" textlink="">
          <xdr:nvSpPr>
            <xdr:cNvPr id="0" name=""/>
            <xdr:cNvSpPr>
              <a:spLocks noTextEdit="1"/>
            </xdr:cNvSpPr>
          </xdr:nvSpPr>
          <xdr:spPr>
            <a:xfrm>
              <a:off x="742950" y="63500"/>
              <a:ext cx="1828800" cy="20700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127000</xdr:colOff>
      <xdr:row>11</xdr:row>
      <xdr:rowOff>165100</xdr:rowOff>
    </xdr:from>
    <xdr:to>
      <xdr:col>4</xdr:col>
      <xdr:colOff>127000</xdr:colOff>
      <xdr:row>25</xdr:row>
      <xdr:rowOff>111125</xdr:rowOff>
    </xdr:to>
    <mc:AlternateContent xmlns:mc="http://schemas.openxmlformats.org/markup-compatibility/2006">
      <mc:Choice xmlns:a14="http://schemas.microsoft.com/office/drawing/2010/main" Requires="a14">
        <xdr:graphicFrame macro="">
          <xdr:nvGraphicFramePr>
            <xdr:cNvPr id="20" name="Column6 1">
              <a:extLst>
                <a:ext uri="{FF2B5EF4-FFF2-40B4-BE49-F238E27FC236}">
                  <a16:creationId xmlns:a16="http://schemas.microsoft.com/office/drawing/2014/main" id="{F6F8AF9B-FD72-48A5-8CAF-CB562422783F}"/>
                </a:ext>
              </a:extLst>
            </xdr:cNvPr>
            <xdr:cNvGraphicFramePr/>
          </xdr:nvGraphicFramePr>
          <xdr:xfrm>
            <a:off x="0" y="0"/>
            <a:ext cx="0" cy="0"/>
          </xdr:xfrm>
          <a:graphic>
            <a:graphicData uri="http://schemas.microsoft.com/office/drawing/2010/slicer">
              <sle:slicer xmlns:sle="http://schemas.microsoft.com/office/drawing/2010/slicer" name="Column6 1"/>
            </a:graphicData>
          </a:graphic>
        </xdr:graphicFrame>
      </mc:Choice>
      <mc:Fallback>
        <xdr:sp macro="" textlink="">
          <xdr:nvSpPr>
            <xdr:cNvPr id="0" name=""/>
            <xdr:cNvSpPr>
              <a:spLocks noTextEdit="1"/>
            </xdr:cNvSpPr>
          </xdr:nvSpPr>
          <xdr:spPr>
            <a:xfrm>
              <a:off x="736600" y="2190750"/>
              <a:ext cx="1828800"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4.480820138888" createdVersion="8" refreshedVersion="8" minRefreshableVersion="3" recordCount="85" xr:uid="{F7DCFC42-532A-4A60-86C1-3972F77C0FE8}">
  <cacheSource type="worksheet">
    <worksheetSource name="Table3"/>
  </cacheSource>
  <cacheFields count="8">
    <cacheField name="Column1" numFmtId="0">
      <sharedItems/>
    </cacheField>
    <cacheField name="Column2" numFmtId="0">
      <sharedItems/>
    </cacheField>
    <cacheField name="Column3" numFmtId="0">
      <sharedItems count="8">
        <s v="Department"/>
        <s v="Finance"/>
        <s v="Operations"/>
        <s v="N/A"/>
        <s v="HR "/>
        <s v="HR"/>
        <s v="IT"/>
        <s v="Operations "/>
      </sharedItems>
    </cacheField>
    <cacheField name="Column4" numFmtId="0">
      <sharedItems count="5">
        <s v="Job_Level"/>
        <s v="Junior "/>
        <s v="Mid-level"/>
        <s v="Junior"/>
        <s v="Senior"/>
      </sharedItems>
    </cacheField>
    <cacheField name="Column5" numFmtId="0">
      <sharedItems containsDate="1" containsMixedTypes="1" minDate="2018-06-12T00:00:00" maxDate="2023-04-21T00:00:00" count="85">
        <s v="Hire_Date"/>
        <s v="13/06/2021"/>
        <s v="10/26/2020"/>
        <d v="2018-10-15T00:00:00"/>
        <d v="2021-12-10T00:00:00"/>
        <s v="03/02/2023"/>
        <d v="2019-02-18T00:00:00"/>
        <d v="2018-12-08T00:00:00"/>
        <d v="2021-02-20T00:00:00"/>
        <d v="2022-03-14T00:00:00"/>
        <s v="21/08/2021"/>
        <s v="03/16/2021"/>
        <d v="2023-01-28T00:00:00"/>
        <s v="12/16/2021"/>
        <d v="2019-09-20T00:00:00"/>
        <s v="08/15/2018"/>
        <s v="28/12/2021"/>
        <d v="2021-06-09T00:00:00"/>
        <d v="2019-10-17T00:00:00"/>
        <s v="21/09/2018"/>
        <s v="10/29/2018"/>
        <d v="2020-10-09T00:00:00"/>
        <d v="2018-07-30T00:00:00"/>
        <s v="12/17/2019"/>
        <d v="2021-03-31T00:00:00"/>
        <d v="2021-08-13T00:00:00"/>
        <s v="11/11/2022"/>
        <d v="2018-07-07T00:00:00"/>
        <d v="2019-03-06T00:00:00"/>
        <d v="2021-10-03T00:00:00"/>
        <s v="25/01/2023"/>
        <d v="2023-04-20T00:00:00"/>
        <s v="03/23/2022"/>
        <s v="02/01/2021"/>
        <s v="18/12/2018"/>
        <s v="06/10/2018"/>
        <d v="2022-07-10T00:00:00"/>
        <s v="06/29/2019"/>
        <s v="06/23/2021"/>
        <d v="2020-11-04T00:00:00"/>
        <s v="07/19/2021"/>
        <s v="02/16/2019"/>
        <s v="11/28/2020"/>
        <d v="2020-03-12T00:00:00"/>
        <s v="06/05/2021"/>
        <s v="19/09/2018"/>
        <d v="2018-06-24T00:00:00"/>
        <d v="2021-07-07T00:00:00"/>
        <d v="2018-06-12T00:00:00"/>
        <s v="07/31/2019"/>
        <s v="26/11/2020"/>
        <s v="06/06/2018"/>
        <s v="04/22/2019"/>
        <s v="16/12/2021"/>
        <s v="23/04/2022"/>
        <s v="25/11/2021"/>
        <s v="30/01/2021"/>
        <d v="2019-04-06T00:00:00"/>
        <s v="10/24/2022"/>
        <d v="2020-09-22T00:00:00"/>
        <s v="02/02/2021"/>
        <d v="2022-03-17T00:00:00"/>
        <d v="2019-02-19T00:00:00"/>
        <s v="14/09/2018"/>
        <d v="2020-12-30T00:00:00"/>
        <s v="28/11/2022"/>
        <s v="06/24/2019"/>
        <s v="06/24/2020"/>
        <s v="20/09/2020"/>
        <s v="15/02/2023"/>
        <s v="07/20/2021"/>
        <d v="2021-01-05T00:00:00"/>
        <s v="03/15/2019"/>
        <d v="2022-01-01T00:00:00"/>
        <s v="13/09/2022"/>
        <s v="02/28/2018"/>
        <d v="2020-06-03T00:00:00"/>
        <d v="2022-09-03T00:00:00"/>
        <d v="2022-04-30T00:00:00"/>
        <s v="03/22/2022"/>
        <s v="11/25/2019"/>
        <d v="2018-09-22T00:00:00"/>
        <d v="2022-07-25T00:00:00"/>
        <s v="04/10/2019"/>
        <s v="12/27/2018"/>
      </sharedItems>
    </cacheField>
    <cacheField name="Column6" numFmtId="0">
      <sharedItems containsMixedTypes="1" containsNumber="1" minValue="0" maxValue="838877.7" count="76">
        <s v="Monthly_Salary"/>
        <n v="200755.87"/>
        <n v="499045.51"/>
        <n v="0"/>
        <n v="827670.62"/>
        <n v="132799.34"/>
        <n v="627957.94999999995"/>
        <n v="174927.68"/>
        <n v="524589.18999999994"/>
        <n v="393356.24"/>
        <n v="224356.35"/>
        <n v="256629.01"/>
        <n v="573185.1"/>
        <n v="263467.39"/>
        <n v="772070.3"/>
        <n v="587638.99"/>
        <n v="343550.78"/>
        <n v="360154.89"/>
        <n v="678881.09"/>
        <n v="581167.12"/>
        <n v="138001.9"/>
        <n v="276055.12"/>
        <n v="414305.66"/>
        <n v="414261.81"/>
        <n v="580475.34"/>
        <n v="713409.38"/>
        <n v="186020.87"/>
        <n v="355947.16"/>
        <n v="272395.05"/>
        <n v="153297.13"/>
        <n v="510477.2"/>
        <n v="436157.71"/>
        <n v="733387.69"/>
        <n v="315382.14"/>
        <n v="240566.86"/>
        <n v="509183.19"/>
        <n v="154971.03"/>
        <n v="314317.09000000003"/>
        <n v="719091.18"/>
        <n v="674254.26"/>
        <n v="380854.83"/>
        <n v="739490.64"/>
        <n v="271361.71000000002"/>
        <n v="354274.69"/>
        <n v="507753.17"/>
        <n v="264337.69"/>
        <n v="416139.86"/>
        <n v="686046.96"/>
        <n v="710594.74"/>
        <n v="598351.28"/>
        <n v="764894.8"/>
        <n v="316999.12"/>
        <n v="386456.51"/>
        <n v="499720.14"/>
        <n v="451511.37"/>
        <n v="484326.75"/>
        <n v="665849.57999999996"/>
        <n v="291386.59999999998"/>
        <n v="838877.7"/>
        <n v="234129.89"/>
        <n v="808879.07"/>
        <n v="325779.5"/>
        <n v="807792.26"/>
        <n v="476703.12"/>
        <n v="669798.6"/>
        <n v="717143.03"/>
        <n v="816851.2"/>
        <n v="728442.08"/>
        <n v="423185.34"/>
        <n v="165999.24"/>
        <n v="674184.71"/>
        <n v="302916.15000000002"/>
        <n v="517268.61"/>
        <n v="304181.40999999997"/>
        <n v="349350.07"/>
        <n v="566559.6"/>
      </sharedItems>
    </cacheField>
    <cacheField name="Column7" numFmtId="0">
      <sharedItems containsMixedTypes="1" containsNumber="1" minValue="0" maxValue="5" count="17">
        <s v="Performance_Score"/>
        <n v="0"/>
        <n v="3.5"/>
        <n v="3.1"/>
        <n v="4"/>
        <n v="3.6"/>
        <n v="5"/>
        <n v="3.3"/>
        <n v="2.6"/>
        <n v="4.5999999999999996"/>
        <n v="1.2"/>
        <n v="2.8"/>
        <n v="1.6"/>
        <n v="2.1"/>
        <n v="4.5"/>
        <n v="2.4"/>
        <n v="2.2999999999999998"/>
      </sharedItems>
    </cacheField>
    <cacheField name="Column8" numFmtId="0">
      <sharedItems count="6">
        <s v="Work_Location"/>
        <s v="Abuja"/>
        <s v="Lagos"/>
        <s v="Remote"/>
        <s v="Remote "/>
        <s v="Abuja "/>
      </sharedItems>
    </cacheField>
  </cacheFields>
  <extLst>
    <ext xmlns:x14="http://schemas.microsoft.com/office/spreadsheetml/2009/9/main" uri="{725AE2AE-9491-48be-B2B4-4EB974FC3084}">
      <x14:pivotCacheDefinition pivotCacheId="883971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Employee_ID"/>
    <s v="Employee_Name"/>
    <x v="0"/>
    <x v="0"/>
    <x v="0"/>
    <x v="0"/>
    <x v="0"/>
    <x v="0"/>
  </r>
  <r>
    <s v="EMP102"/>
    <s v="Ngozi Nwosu"/>
    <x v="1"/>
    <x v="1"/>
    <x v="1"/>
    <x v="1"/>
    <x v="1"/>
    <x v="1"/>
  </r>
  <r>
    <s v="EMP131"/>
    <s v="Chinedu Eze"/>
    <x v="2"/>
    <x v="2"/>
    <x v="2"/>
    <x v="2"/>
    <x v="2"/>
    <x v="2"/>
  </r>
  <r>
    <s v="EMP129"/>
    <s v=" Ada Okeke"/>
    <x v="3"/>
    <x v="3"/>
    <x v="3"/>
    <x v="3"/>
    <x v="3"/>
    <x v="3"/>
  </r>
  <r>
    <s v="EMP130"/>
    <s v="Ngozi Nwosu"/>
    <x v="4"/>
    <x v="2"/>
    <x v="4"/>
    <x v="4"/>
    <x v="4"/>
    <x v="2"/>
  </r>
  <r>
    <s v="EMP112"/>
    <s v="Ibrahim Lawal "/>
    <x v="3"/>
    <x v="1"/>
    <x v="5"/>
    <x v="5"/>
    <x v="1"/>
    <x v="3"/>
  </r>
  <r>
    <s v="EMP137"/>
    <s v=" Ada Okeke"/>
    <x v="5"/>
    <x v="2"/>
    <x v="6"/>
    <x v="3"/>
    <x v="5"/>
    <x v="4"/>
  </r>
  <r>
    <s v="EMP121"/>
    <s v="Ngozi Nwosu"/>
    <x v="6"/>
    <x v="2"/>
    <x v="7"/>
    <x v="6"/>
    <x v="6"/>
    <x v="3"/>
  </r>
  <r>
    <s v="EMP116"/>
    <s v="Sophia Kim"/>
    <x v="5"/>
    <x v="2"/>
    <x v="8"/>
    <x v="7"/>
    <x v="4"/>
    <x v="2"/>
  </r>
  <r>
    <s v="EMP128"/>
    <s v="Michael Brown "/>
    <x v="4"/>
    <x v="1"/>
    <x v="9"/>
    <x v="8"/>
    <x v="7"/>
    <x v="4"/>
  </r>
  <r>
    <s v="EMP121"/>
    <s v="Ibrahim Lawal "/>
    <x v="1"/>
    <x v="3"/>
    <x v="10"/>
    <x v="3"/>
    <x v="4"/>
    <x v="1"/>
  </r>
  <r>
    <s v="EMP137"/>
    <s v="Samuel Ade"/>
    <x v="6"/>
    <x v="4"/>
    <x v="11"/>
    <x v="9"/>
    <x v="4"/>
    <x v="4"/>
  </r>
  <r>
    <s v="EMP131"/>
    <s v="Samuel Ade"/>
    <x v="3"/>
    <x v="2"/>
    <x v="12"/>
    <x v="10"/>
    <x v="2"/>
    <x v="2"/>
  </r>
  <r>
    <s v="EMP123"/>
    <s v="Ngozi Nwosu"/>
    <x v="7"/>
    <x v="4"/>
    <x v="13"/>
    <x v="11"/>
    <x v="1"/>
    <x v="5"/>
  </r>
  <r>
    <s v="EMP138"/>
    <s v=" Ada Okeke"/>
    <x v="6"/>
    <x v="2"/>
    <x v="14"/>
    <x v="12"/>
    <x v="1"/>
    <x v="5"/>
  </r>
  <r>
    <s v="EMP139"/>
    <s v="Chinedu Eze"/>
    <x v="7"/>
    <x v="2"/>
    <x v="15"/>
    <x v="13"/>
    <x v="1"/>
    <x v="2"/>
  </r>
  <r>
    <s v="EMP107"/>
    <s v=" Daniel Johnson"/>
    <x v="6"/>
    <x v="4"/>
    <x v="16"/>
    <x v="14"/>
    <x v="1"/>
    <x v="5"/>
  </r>
  <r>
    <s v="EMP133"/>
    <s v=" Daniel Johnson"/>
    <x v="6"/>
    <x v="2"/>
    <x v="17"/>
    <x v="15"/>
    <x v="4"/>
    <x v="2"/>
  </r>
  <r>
    <s v="EMP106"/>
    <s v="Samuel Ade"/>
    <x v="1"/>
    <x v="4"/>
    <x v="18"/>
    <x v="16"/>
    <x v="1"/>
    <x v="2"/>
  </r>
  <r>
    <s v="EMP104"/>
    <s v="Ngozi Nwosu"/>
    <x v="7"/>
    <x v="1"/>
    <x v="19"/>
    <x v="17"/>
    <x v="4"/>
    <x v="1"/>
  </r>
  <r>
    <s v="EMP113"/>
    <s v="Ngozi Nwosu"/>
    <x v="6"/>
    <x v="1"/>
    <x v="20"/>
    <x v="18"/>
    <x v="6"/>
    <x v="5"/>
  </r>
  <r>
    <s v="EMP129"/>
    <s v=" Sophia Kim"/>
    <x v="2"/>
    <x v="2"/>
    <x v="21"/>
    <x v="19"/>
    <x v="4"/>
    <x v="2"/>
  </r>
  <r>
    <s v="EMP119"/>
    <s v="Zainab Ali"/>
    <x v="6"/>
    <x v="2"/>
    <x v="22"/>
    <x v="20"/>
    <x v="4"/>
    <x v="3"/>
  </r>
  <r>
    <s v="EMP124"/>
    <s v="Ngozi Nwosu"/>
    <x v="3"/>
    <x v="1"/>
    <x v="23"/>
    <x v="21"/>
    <x v="6"/>
    <x v="4"/>
  </r>
  <r>
    <s v="EMP117"/>
    <s v=" Grace Musa"/>
    <x v="5"/>
    <x v="1"/>
    <x v="24"/>
    <x v="22"/>
    <x v="1"/>
    <x v="4"/>
  </r>
  <r>
    <s v="EMP102"/>
    <s v="Zainab Ali"/>
    <x v="1"/>
    <x v="3"/>
    <x v="25"/>
    <x v="23"/>
    <x v="4"/>
    <x v="4"/>
  </r>
  <r>
    <s v="EMP127"/>
    <s v="Ibrahim Lawal "/>
    <x v="6"/>
    <x v="4"/>
    <x v="26"/>
    <x v="24"/>
    <x v="6"/>
    <x v="3"/>
  </r>
  <r>
    <s v="EMP128"/>
    <s v=" Daniel Johnson"/>
    <x v="5"/>
    <x v="3"/>
    <x v="27"/>
    <x v="3"/>
    <x v="8"/>
    <x v="1"/>
  </r>
  <r>
    <s v="EMP126"/>
    <s v=" Grace Musa"/>
    <x v="5"/>
    <x v="1"/>
    <x v="28"/>
    <x v="25"/>
    <x v="6"/>
    <x v="3"/>
  </r>
  <r>
    <s v="EMP130"/>
    <s v="Zainab Ali"/>
    <x v="1"/>
    <x v="2"/>
    <x v="29"/>
    <x v="26"/>
    <x v="6"/>
    <x v="2"/>
  </r>
  <r>
    <s v="EMP128"/>
    <s v="Zainab Ali"/>
    <x v="6"/>
    <x v="4"/>
    <x v="30"/>
    <x v="27"/>
    <x v="9"/>
    <x v="1"/>
  </r>
  <r>
    <s v="EMP137"/>
    <s v="Ibrahim Lawal "/>
    <x v="1"/>
    <x v="2"/>
    <x v="31"/>
    <x v="28"/>
    <x v="10"/>
    <x v="2"/>
  </r>
  <r>
    <s v="EMP109"/>
    <s v="Ibrahim Lawal "/>
    <x v="1"/>
    <x v="1"/>
    <x v="32"/>
    <x v="29"/>
    <x v="1"/>
    <x v="3"/>
  </r>
  <r>
    <s v="EMP137"/>
    <s v=" Sophia Kim"/>
    <x v="4"/>
    <x v="4"/>
    <x v="33"/>
    <x v="30"/>
    <x v="1"/>
    <x v="2"/>
  </r>
  <r>
    <s v="EMP105"/>
    <s v="Michael Brown "/>
    <x v="7"/>
    <x v="1"/>
    <x v="34"/>
    <x v="3"/>
    <x v="4"/>
    <x v="5"/>
  </r>
  <r>
    <s v="EMP120"/>
    <s v=" Sophia Kim"/>
    <x v="4"/>
    <x v="4"/>
    <x v="35"/>
    <x v="31"/>
    <x v="1"/>
    <x v="2"/>
  </r>
  <r>
    <s v="EMP132"/>
    <s v="Michael Brown "/>
    <x v="6"/>
    <x v="3"/>
    <x v="36"/>
    <x v="32"/>
    <x v="4"/>
    <x v="3"/>
  </r>
  <r>
    <s v="EMP123"/>
    <s v=" Sophia Kim"/>
    <x v="1"/>
    <x v="4"/>
    <x v="37"/>
    <x v="33"/>
    <x v="6"/>
    <x v="2"/>
  </r>
  <r>
    <s v="EMP113"/>
    <s v="Samuel Ade"/>
    <x v="5"/>
    <x v="3"/>
    <x v="38"/>
    <x v="34"/>
    <x v="1"/>
    <x v="1"/>
  </r>
  <r>
    <s v="EMP139"/>
    <s v="Chinedu Eze"/>
    <x v="7"/>
    <x v="3"/>
    <x v="39"/>
    <x v="35"/>
    <x v="11"/>
    <x v="5"/>
  </r>
  <r>
    <s v="EMP117"/>
    <s v=" Daniel Johnson"/>
    <x v="1"/>
    <x v="2"/>
    <x v="40"/>
    <x v="36"/>
    <x v="4"/>
    <x v="3"/>
  </r>
  <r>
    <s v="EMP113"/>
    <s v=" Grace Musa"/>
    <x v="1"/>
    <x v="4"/>
    <x v="41"/>
    <x v="3"/>
    <x v="1"/>
    <x v="1"/>
  </r>
  <r>
    <s v="EMP117"/>
    <s v="Chinedu Eze"/>
    <x v="2"/>
    <x v="4"/>
    <x v="42"/>
    <x v="37"/>
    <x v="6"/>
    <x v="1"/>
  </r>
  <r>
    <s v="EMP116"/>
    <s v="Samuel Ade"/>
    <x v="5"/>
    <x v="4"/>
    <x v="43"/>
    <x v="38"/>
    <x v="2"/>
    <x v="4"/>
  </r>
  <r>
    <s v="EMP113"/>
    <s v=" Ada Okeke"/>
    <x v="4"/>
    <x v="3"/>
    <x v="44"/>
    <x v="39"/>
    <x v="3"/>
    <x v="3"/>
  </r>
  <r>
    <s v="EMP102"/>
    <s v=" Ada Okeke"/>
    <x v="6"/>
    <x v="3"/>
    <x v="45"/>
    <x v="40"/>
    <x v="1"/>
    <x v="2"/>
  </r>
  <r>
    <s v="EMP121"/>
    <s v="Michael Brown "/>
    <x v="5"/>
    <x v="4"/>
    <x v="46"/>
    <x v="41"/>
    <x v="2"/>
    <x v="1"/>
  </r>
  <r>
    <s v="EMP130"/>
    <s v="Zainab Ali"/>
    <x v="3"/>
    <x v="1"/>
    <x v="47"/>
    <x v="42"/>
    <x v="6"/>
    <x v="1"/>
  </r>
  <r>
    <s v="EMP131"/>
    <s v=" Sophia Kim"/>
    <x v="1"/>
    <x v="2"/>
    <x v="48"/>
    <x v="43"/>
    <x v="6"/>
    <x v="1"/>
  </r>
  <r>
    <s v="EMP124"/>
    <s v="Ngozi Nwosu"/>
    <x v="1"/>
    <x v="3"/>
    <x v="49"/>
    <x v="44"/>
    <x v="12"/>
    <x v="4"/>
  </r>
  <r>
    <s v="EMP106"/>
    <s v="Ngozi Nwosu"/>
    <x v="6"/>
    <x v="3"/>
    <x v="50"/>
    <x v="45"/>
    <x v="2"/>
    <x v="4"/>
  </r>
  <r>
    <s v="EMP103"/>
    <s v=" Sophia Kim"/>
    <x v="1"/>
    <x v="2"/>
    <x v="51"/>
    <x v="46"/>
    <x v="2"/>
    <x v="5"/>
  </r>
  <r>
    <s v="EMP111"/>
    <s v=" Grace Musa"/>
    <x v="1"/>
    <x v="4"/>
    <x v="52"/>
    <x v="47"/>
    <x v="4"/>
    <x v="1"/>
  </r>
  <r>
    <s v="EMP132"/>
    <s v=" Daniel Johnson"/>
    <x v="2"/>
    <x v="2"/>
    <x v="53"/>
    <x v="48"/>
    <x v="2"/>
    <x v="5"/>
  </r>
  <r>
    <s v="EMP115"/>
    <s v="Samuel Ade"/>
    <x v="1"/>
    <x v="1"/>
    <x v="54"/>
    <x v="3"/>
    <x v="2"/>
    <x v="3"/>
  </r>
  <r>
    <s v="EMP126"/>
    <s v="Zainab Ali"/>
    <x v="1"/>
    <x v="3"/>
    <x v="55"/>
    <x v="49"/>
    <x v="2"/>
    <x v="4"/>
  </r>
  <r>
    <s v="EMP135"/>
    <s v="Zainab Ali"/>
    <x v="6"/>
    <x v="2"/>
    <x v="56"/>
    <x v="3"/>
    <x v="6"/>
    <x v="2"/>
  </r>
  <r>
    <s v="EMP113"/>
    <s v=" Ada Okeke"/>
    <x v="5"/>
    <x v="3"/>
    <x v="57"/>
    <x v="50"/>
    <x v="6"/>
    <x v="4"/>
  </r>
  <r>
    <s v="EMP131"/>
    <s v=" Grace Musa"/>
    <x v="2"/>
    <x v="4"/>
    <x v="58"/>
    <x v="51"/>
    <x v="4"/>
    <x v="5"/>
  </r>
  <r>
    <s v="EMP113"/>
    <s v="Chinedu Eze"/>
    <x v="1"/>
    <x v="4"/>
    <x v="59"/>
    <x v="52"/>
    <x v="1"/>
    <x v="5"/>
  </r>
  <r>
    <s v="EMP121"/>
    <s v="Ngozi Nwosu"/>
    <x v="6"/>
    <x v="4"/>
    <x v="60"/>
    <x v="53"/>
    <x v="6"/>
    <x v="1"/>
  </r>
  <r>
    <s v="EMP119"/>
    <s v="Ngozi Nwosu"/>
    <x v="6"/>
    <x v="1"/>
    <x v="61"/>
    <x v="54"/>
    <x v="4"/>
    <x v="2"/>
  </r>
  <r>
    <s v="EMP137"/>
    <s v="Samuel Ade"/>
    <x v="6"/>
    <x v="1"/>
    <x v="62"/>
    <x v="55"/>
    <x v="6"/>
    <x v="2"/>
  </r>
  <r>
    <s v="EMP123"/>
    <s v="Samuel Ade"/>
    <x v="7"/>
    <x v="2"/>
    <x v="63"/>
    <x v="56"/>
    <x v="2"/>
    <x v="3"/>
  </r>
  <r>
    <s v="EMP119"/>
    <s v="Ngozi Nwosu"/>
    <x v="3"/>
    <x v="4"/>
    <x v="64"/>
    <x v="57"/>
    <x v="2"/>
    <x v="5"/>
  </r>
  <r>
    <s v="EMP134"/>
    <s v="Chinedu Eze"/>
    <x v="7"/>
    <x v="3"/>
    <x v="65"/>
    <x v="58"/>
    <x v="2"/>
    <x v="2"/>
  </r>
  <r>
    <s v="EMP130"/>
    <s v=" Sophia Kim"/>
    <x v="2"/>
    <x v="4"/>
    <x v="66"/>
    <x v="59"/>
    <x v="6"/>
    <x v="2"/>
  </r>
  <r>
    <s v="EMP112"/>
    <s v="Chinedu Eze"/>
    <x v="6"/>
    <x v="4"/>
    <x v="67"/>
    <x v="60"/>
    <x v="2"/>
    <x v="4"/>
  </r>
  <r>
    <s v="EMP118"/>
    <s v="Zainab Ali"/>
    <x v="4"/>
    <x v="4"/>
    <x v="68"/>
    <x v="61"/>
    <x v="4"/>
    <x v="5"/>
  </r>
  <r>
    <s v="EMP117"/>
    <s v="Ngozi Nwosu"/>
    <x v="5"/>
    <x v="4"/>
    <x v="69"/>
    <x v="62"/>
    <x v="6"/>
    <x v="2"/>
  </r>
  <r>
    <s v="EMP110"/>
    <s v="Ibrahim Lawal "/>
    <x v="5"/>
    <x v="3"/>
    <x v="70"/>
    <x v="63"/>
    <x v="1"/>
    <x v="2"/>
  </r>
  <r>
    <s v="EMP130"/>
    <s v="Chinedu Eze"/>
    <x v="6"/>
    <x v="2"/>
    <x v="71"/>
    <x v="64"/>
    <x v="4"/>
    <x v="2"/>
  </r>
  <r>
    <s v="EMP113"/>
    <s v="Ngozi Nwosu"/>
    <x v="4"/>
    <x v="4"/>
    <x v="72"/>
    <x v="65"/>
    <x v="13"/>
    <x v="3"/>
  </r>
  <r>
    <s v="EMP121"/>
    <s v="Michael Brown "/>
    <x v="1"/>
    <x v="2"/>
    <x v="73"/>
    <x v="66"/>
    <x v="1"/>
    <x v="4"/>
  </r>
  <r>
    <s v="EMP135"/>
    <s v=" Sophia Kim"/>
    <x v="6"/>
    <x v="4"/>
    <x v="74"/>
    <x v="67"/>
    <x v="2"/>
    <x v="2"/>
  </r>
  <r>
    <s v="EMP118"/>
    <s v="Samuel Ade"/>
    <x v="3"/>
    <x v="2"/>
    <x v="75"/>
    <x v="68"/>
    <x v="4"/>
    <x v="5"/>
  </r>
  <r>
    <s v="EMP129"/>
    <s v=" Ada Okeke"/>
    <x v="6"/>
    <x v="4"/>
    <x v="76"/>
    <x v="69"/>
    <x v="10"/>
    <x v="5"/>
  </r>
  <r>
    <s v="EMP113"/>
    <s v="Zainab Ali"/>
    <x v="2"/>
    <x v="1"/>
    <x v="77"/>
    <x v="3"/>
    <x v="6"/>
    <x v="3"/>
  </r>
  <r>
    <s v="EMP106"/>
    <s v="Samuel Ade"/>
    <x v="3"/>
    <x v="3"/>
    <x v="78"/>
    <x v="70"/>
    <x v="1"/>
    <x v="3"/>
  </r>
  <r>
    <s v="EMP140"/>
    <s v="Samuel Ade"/>
    <x v="1"/>
    <x v="3"/>
    <x v="79"/>
    <x v="71"/>
    <x v="4"/>
    <x v="3"/>
  </r>
  <r>
    <s v="EMP113"/>
    <s v="Ibrahim Lawal "/>
    <x v="6"/>
    <x v="2"/>
    <x v="80"/>
    <x v="3"/>
    <x v="6"/>
    <x v="3"/>
  </r>
  <r>
    <s v="EMP121"/>
    <s v=" Sophia Kim"/>
    <x v="7"/>
    <x v="2"/>
    <x v="81"/>
    <x v="72"/>
    <x v="14"/>
    <x v="1"/>
  </r>
  <r>
    <s v="EMP109"/>
    <s v=" Sophia Kim"/>
    <x v="3"/>
    <x v="1"/>
    <x v="82"/>
    <x v="73"/>
    <x v="2"/>
    <x v="2"/>
  </r>
  <r>
    <s v="EMP109"/>
    <s v="Michael Brown "/>
    <x v="6"/>
    <x v="2"/>
    <x v="83"/>
    <x v="74"/>
    <x v="15"/>
    <x v="2"/>
  </r>
  <r>
    <s v="EMP130"/>
    <s v=" Sophia Kim"/>
    <x v="1"/>
    <x v="4"/>
    <x v="84"/>
    <x v="75"/>
    <x v="1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FF278-F38D-4840-BBEC-C08C49D59451}"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B44" firstHeaderRow="1" firstDataRow="1" firstDataCol="1"/>
  <pivotFields count="8">
    <pivotField showAll="0"/>
    <pivotField showAll="0"/>
    <pivotField showAll="0">
      <items count="9">
        <item x="0"/>
        <item x="1"/>
        <item x="5"/>
        <item x="4"/>
        <item x="6"/>
        <item x="3"/>
        <item x="2"/>
        <item x="7"/>
        <item t="default"/>
      </items>
    </pivotField>
    <pivotField axis="axisRow" showAll="0" sortType="a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dataField="1" showAll="0">
      <items count="77">
        <item x="3"/>
        <item x="5"/>
        <item x="20"/>
        <item x="29"/>
        <item x="36"/>
        <item x="69"/>
        <item x="7"/>
        <item x="26"/>
        <item x="1"/>
        <item x="10"/>
        <item x="59"/>
        <item x="34"/>
        <item x="11"/>
        <item x="13"/>
        <item x="45"/>
        <item x="42"/>
        <item x="28"/>
        <item x="21"/>
        <item x="57"/>
        <item x="71"/>
        <item x="73"/>
        <item x="37"/>
        <item x="33"/>
        <item x="51"/>
        <item x="61"/>
        <item x="16"/>
        <item x="74"/>
        <item x="43"/>
        <item x="27"/>
        <item x="17"/>
        <item x="40"/>
        <item x="52"/>
        <item x="9"/>
        <item x="23"/>
        <item x="22"/>
        <item x="46"/>
        <item x="68"/>
        <item x="31"/>
        <item x="54"/>
        <item x="63"/>
        <item x="55"/>
        <item x="2"/>
        <item x="53"/>
        <item x="44"/>
        <item x="35"/>
        <item x="30"/>
        <item x="72"/>
        <item x="8"/>
        <item x="75"/>
        <item x="12"/>
        <item x="24"/>
        <item x="19"/>
        <item x="15"/>
        <item x="49"/>
        <item x="6"/>
        <item x="56"/>
        <item x="64"/>
        <item x="70"/>
        <item x="39"/>
        <item x="18"/>
        <item x="47"/>
        <item x="48"/>
        <item x="25"/>
        <item x="65"/>
        <item x="38"/>
        <item x="67"/>
        <item x="32"/>
        <item x="41"/>
        <item x="50"/>
        <item x="14"/>
        <item x="62"/>
        <item x="60"/>
        <item x="66"/>
        <item x="4"/>
        <item x="58"/>
        <item x="0"/>
        <item t="default"/>
      </items>
    </pivotField>
    <pivotField showAll="0"/>
    <pivotField showAll="0">
      <items count="7">
        <item x="1"/>
        <item x="5"/>
        <item x="2"/>
        <item x="3"/>
        <item x="4"/>
        <item x="0"/>
        <item t="default"/>
      </items>
    </pivotField>
  </pivotFields>
  <rowFields count="1">
    <field x="3"/>
  </rowFields>
  <rowItems count="6">
    <i>
      <x/>
    </i>
    <i>
      <x v="2"/>
    </i>
    <i>
      <x v="1"/>
    </i>
    <i>
      <x v="3"/>
    </i>
    <i>
      <x v="4"/>
    </i>
    <i t="grand">
      <x/>
    </i>
  </rowItems>
  <colItems count="1">
    <i/>
  </colItems>
  <dataFields count="1">
    <dataField name="Count of Column6" fld="5" subtotal="count" baseField="3" baseItem="0"/>
  </dataFields>
  <chartFormats count="19">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6" format="6">
      <pivotArea type="data" outline="0" fieldPosition="0">
        <references count="2">
          <reference field="4294967294" count="1" selected="0">
            <x v="0"/>
          </reference>
          <reference field="3"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0"/>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7"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8780A-F1E0-49AF-AAE9-D1374515A49D}"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3" firstHeaderRow="1" firstDataRow="1" firstDataCol="1"/>
  <pivotFields count="8">
    <pivotField showAll="0"/>
    <pivotField dataField="1" showAll="0"/>
    <pivotField showAll="0">
      <items count="9">
        <item x="0"/>
        <item x="1"/>
        <item x="5"/>
        <item x="4"/>
        <item x="6"/>
        <item x="3"/>
        <item x="2"/>
        <item x="7"/>
        <item t="default"/>
      </items>
    </pivotField>
    <pivotField showAll="0"/>
    <pivotField showAll="0"/>
    <pivotField showAll="0"/>
    <pivotField showAll="0">
      <items count="18">
        <item x="1"/>
        <item x="10"/>
        <item x="12"/>
        <item x="13"/>
        <item x="16"/>
        <item x="15"/>
        <item x="8"/>
        <item x="11"/>
        <item x="3"/>
        <item x="7"/>
        <item x="2"/>
        <item x="5"/>
        <item x="4"/>
        <item x="14"/>
        <item x="9"/>
        <item x="6"/>
        <item x="0"/>
        <item t="default"/>
      </items>
    </pivotField>
    <pivotField axis="axisRow" showAll="0" sortType="ascending">
      <items count="7">
        <item h="1" x="1"/>
        <item x="5"/>
        <item x="2"/>
        <item h="1" x="3"/>
        <item x="4"/>
        <item x="0"/>
        <item t="default"/>
      </items>
      <autoSortScope>
        <pivotArea dataOnly="0" outline="0" fieldPosition="0">
          <references count="1">
            <reference field="4294967294" count="1" selected="0">
              <x v="0"/>
            </reference>
          </references>
        </pivotArea>
      </autoSortScope>
    </pivotField>
  </pivotFields>
  <rowFields count="1">
    <field x="7"/>
  </rowFields>
  <rowItems count="5">
    <i>
      <x v="5"/>
    </i>
    <i>
      <x v="4"/>
    </i>
    <i>
      <x v="1"/>
    </i>
    <i>
      <x v="2"/>
    </i>
    <i t="grand">
      <x/>
    </i>
  </rowItems>
  <colItems count="1">
    <i/>
  </colItems>
  <dataFields count="1">
    <dataField name="Count of Column2" fld="1" subtotal="count" baseField="7"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00FC30-8A79-402A-B7FE-0DADF8A9325A}"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23" firstHeaderRow="1" firstDataRow="1" firstDataCol="1"/>
  <pivotFields count="8">
    <pivotField showAll="0"/>
    <pivotField showAll="0"/>
    <pivotField axis="axisRow" showAll="0" sortType="ascending">
      <items count="9">
        <item x="0"/>
        <item x="1"/>
        <item x="5"/>
        <item x="4"/>
        <item x="6"/>
        <item x="3"/>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9">
    <i>
      <x/>
    </i>
    <i>
      <x v="3"/>
    </i>
    <i>
      <x v="6"/>
    </i>
    <i>
      <x v="7"/>
    </i>
    <i>
      <x v="5"/>
    </i>
    <i>
      <x v="2"/>
    </i>
    <i>
      <x v="1"/>
    </i>
    <i>
      <x v="4"/>
    </i>
    <i t="grand">
      <x/>
    </i>
  </rowItems>
  <colItems count="1">
    <i/>
  </colItems>
  <dataFields count="1">
    <dataField name="Count of Column7"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083C90-A84A-43AB-9886-EE7DF8B4AC55}"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8">
    <pivotField showAll="0"/>
    <pivotField showAll="0"/>
    <pivotField showAll="0"/>
    <pivotField showAll="0"/>
    <pivotField showAll="0"/>
    <pivotField dataField="1" showAll="0"/>
    <pivotField showAll="0"/>
    <pivotField showAll="0"/>
  </pivotFields>
  <rowItems count="1">
    <i/>
  </rowItems>
  <colItems count="1">
    <i/>
  </colItems>
  <dataFields count="1">
    <dataField name="Min of Column6"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54E4B-FF16-4646-80CB-8A7C9F959051}"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pivotField showAll="0"/>
    <pivotField showAll="0"/>
    <pivotField dataField="1" showAll="0"/>
    <pivotField showAll="0"/>
    <pivotField showAll="0"/>
  </pivotFields>
  <rowItems count="1">
    <i/>
  </rowItems>
  <colItems count="1">
    <i/>
  </colItems>
  <dataFields count="1">
    <dataField name="Max of Column6"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6" xr10:uid="{26591FE3-5A8C-4D67-8F2D-034F04497300}" sourceName="Column6">
  <pivotTables>
    <pivotTable tabId="7" name="PivotTable11"/>
  </pivotTables>
  <data>
    <tabular pivotCacheId="883971508">
      <items count="76">
        <i x="3" s="1"/>
        <i x="5" s="1"/>
        <i x="20" s="1"/>
        <i x="29" s="1"/>
        <i x="36" s="1"/>
        <i x="69" s="1"/>
        <i x="7" s="1"/>
        <i x="26" s="1"/>
        <i x="1" s="1"/>
        <i x="10" s="1"/>
        <i x="59" s="1"/>
        <i x="34" s="1"/>
        <i x="11" s="1"/>
        <i x="13" s="1"/>
        <i x="45" s="1"/>
        <i x="42" s="1"/>
        <i x="28" s="1"/>
        <i x="21" s="1"/>
        <i x="57" s="1"/>
        <i x="71" s="1"/>
        <i x="73" s="1"/>
        <i x="37" s="1"/>
        <i x="33" s="1"/>
        <i x="51" s="1"/>
        <i x="61" s="1"/>
        <i x="16" s="1"/>
        <i x="74" s="1"/>
        <i x="43" s="1"/>
        <i x="27" s="1"/>
        <i x="17" s="1"/>
        <i x="40" s="1"/>
        <i x="52" s="1"/>
        <i x="9" s="1"/>
        <i x="23" s="1"/>
        <i x="22" s="1"/>
        <i x="46" s="1"/>
        <i x="68" s="1"/>
        <i x="31" s="1"/>
        <i x="54" s="1"/>
        <i x="63" s="1"/>
        <i x="55" s="1"/>
        <i x="2" s="1"/>
        <i x="53" s="1"/>
        <i x="44" s="1"/>
        <i x="35" s="1"/>
        <i x="30" s="1"/>
        <i x="72" s="1"/>
        <i x="8" s="1"/>
        <i x="75" s="1"/>
        <i x="12" s="1"/>
        <i x="24" s="1"/>
        <i x="19" s="1"/>
        <i x="15" s="1"/>
        <i x="49" s="1"/>
        <i x="6" s="1"/>
        <i x="56" s="1"/>
        <i x="64" s="1"/>
        <i x="70" s="1"/>
        <i x="39" s="1"/>
        <i x="18" s="1"/>
        <i x="47" s="1"/>
        <i x="48" s="1"/>
        <i x="25" s="1"/>
        <i x="65" s="1"/>
        <i x="38" s="1"/>
        <i x="67" s="1"/>
        <i x="32" s="1"/>
        <i x="41" s="1"/>
        <i x="50" s="1"/>
        <i x="14" s="1"/>
        <i x="62" s="1"/>
        <i x="60" s="1"/>
        <i x="66" s="1"/>
        <i x="4" s="1"/>
        <i x="5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7" xr10:uid="{B6012C3A-13E2-43F2-8969-28C009706767}" sourceName="Column7">
  <pivotTables>
    <pivotTable tabId="7" name="PivotTable10"/>
  </pivotTables>
  <data>
    <tabular pivotCacheId="883971508">
      <items count="17">
        <i x="1" s="1"/>
        <i x="10" s="1"/>
        <i x="12" s="1"/>
        <i x="15" s="1"/>
        <i x="11" s="1"/>
        <i x="7" s="1"/>
        <i x="2" s="1"/>
        <i x="5" s="1"/>
        <i x="4" s="1"/>
        <i x="6" s="1"/>
        <i x="0" s="1"/>
        <i x="13" s="1" nd="1"/>
        <i x="16" s="1" nd="1"/>
        <i x="8" s="1" nd="1"/>
        <i x="3" s="1" nd="1"/>
        <i x="14"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6" xr10:uid="{F90C7DEA-9F37-435D-AF53-F9FF65FE654E}" cache="Slicer_Column6" caption="Column6" rowHeight="241300"/>
  <slicer name="Column7" xr10:uid="{3EEFF8C9-A6DA-4BB2-8AD9-02FC16489579}" cache="Slicer_Column7" caption="Column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6 1" xr10:uid="{CD957F01-BBF7-413F-B283-44A2970268BF}" cache="Slicer_Column6" caption="Column6" rowHeight="241300"/>
  <slicer name="Column7 1" xr10:uid="{1EAD6AA5-A5A4-471B-9D93-C137F9C38896}" cache="Slicer_Column7" caption="Column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4CDE5-A882-441B-94AF-A9B6B2182B9E}" name="Table3" displayName="Table3" ref="A1:H86" totalsRowShown="0">
  <tableColumns count="8">
    <tableColumn id="1" xr3:uid="{4CBD3926-8EBA-43E8-A0DC-AE84BE7504E2}" name="Column1"/>
    <tableColumn id="2" xr3:uid="{AB53F257-78D4-4D14-9EAD-0D4CF78E0624}" name="Column2"/>
    <tableColumn id="3" xr3:uid="{25FB63B1-34D1-4996-96BF-C6328A448A79}" name="Column3"/>
    <tableColumn id="4" xr3:uid="{B7EC8A40-2AFB-43BB-A919-A09CFCFEAFAD}" name="Column4"/>
    <tableColumn id="5" xr3:uid="{47C7E95B-817D-4FE8-A256-72E2010CD5D5}" name="Column5"/>
    <tableColumn id="6" xr3:uid="{39643A6B-A104-42F5-A885-8E39311E87A6}" name="Column6"/>
    <tableColumn id="7" xr3:uid="{3D9E6616-D36F-4EAF-A486-9112FF11ADC9}" name="Column7"/>
    <tableColumn id="8" xr3:uid="{E93D443E-6652-4A5A-8A31-2B2A995AB4AA}" name="Column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F9044-D92F-4A7D-AD64-FBA8B02C401F}">
  <dimension ref="A2:B44"/>
  <sheetViews>
    <sheetView tabSelected="1" topLeftCell="A33" workbookViewId="0">
      <selection activeCell="Q50" sqref="Q50"/>
    </sheetView>
  </sheetViews>
  <sheetFormatPr defaultRowHeight="14.5" x14ac:dyDescent="0.35"/>
  <cols>
    <col min="1" max="1" width="13.453125" bestFit="1" customWidth="1"/>
    <col min="2" max="2" width="16.08984375" bestFit="1" customWidth="1"/>
  </cols>
  <sheetData>
    <row r="2" spans="1:2" x14ac:dyDescent="0.35">
      <c r="A2" s="4" t="s">
        <v>134</v>
      </c>
    </row>
    <row r="3" spans="1:2" x14ac:dyDescent="0.35">
      <c r="A3" t="s">
        <v>129</v>
      </c>
    </row>
    <row r="4" spans="1:2" x14ac:dyDescent="0.35">
      <c r="A4" s="2">
        <v>838877.7</v>
      </c>
    </row>
    <row r="8" spans="1:2" x14ac:dyDescent="0.35">
      <c r="A8" s="4" t="s">
        <v>130</v>
      </c>
    </row>
    <row r="9" spans="1:2" x14ac:dyDescent="0.35">
      <c r="A9" t="s">
        <v>131</v>
      </c>
    </row>
    <row r="10" spans="1:2" x14ac:dyDescent="0.35">
      <c r="A10" s="2">
        <v>0</v>
      </c>
    </row>
    <row r="13" spans="1:2" x14ac:dyDescent="0.35">
      <c r="A13" s="4" t="s">
        <v>135</v>
      </c>
    </row>
    <row r="14" spans="1:2" x14ac:dyDescent="0.35">
      <c r="A14" s="5" t="s">
        <v>126</v>
      </c>
      <c r="B14" t="s">
        <v>132</v>
      </c>
    </row>
    <row r="15" spans="1:2" x14ac:dyDescent="0.35">
      <c r="A15" s="6" t="s">
        <v>2</v>
      </c>
      <c r="B15" s="2">
        <v>1</v>
      </c>
    </row>
    <row r="16" spans="1:2" x14ac:dyDescent="0.35">
      <c r="A16" s="6" t="s">
        <v>96</v>
      </c>
      <c r="B16" s="2">
        <v>7</v>
      </c>
    </row>
    <row r="17" spans="1:2" x14ac:dyDescent="0.35">
      <c r="A17" s="6" t="s">
        <v>15</v>
      </c>
      <c r="B17" s="2">
        <v>7</v>
      </c>
    </row>
    <row r="18" spans="1:2" x14ac:dyDescent="0.35">
      <c r="A18" s="6" t="s">
        <v>97</v>
      </c>
      <c r="B18" s="2">
        <v>8</v>
      </c>
    </row>
    <row r="19" spans="1:2" x14ac:dyDescent="0.35">
      <c r="A19" s="6" t="s">
        <v>116</v>
      </c>
      <c r="B19" s="2">
        <v>9</v>
      </c>
    </row>
    <row r="20" spans="1:2" x14ac:dyDescent="0.35">
      <c r="A20" s="6" t="s">
        <v>27</v>
      </c>
      <c r="B20" s="2">
        <v>11</v>
      </c>
    </row>
    <row r="21" spans="1:2" x14ac:dyDescent="0.35">
      <c r="A21" s="6" t="s">
        <v>10</v>
      </c>
      <c r="B21" s="2">
        <v>20</v>
      </c>
    </row>
    <row r="22" spans="1:2" x14ac:dyDescent="0.35">
      <c r="A22" s="6" t="s">
        <v>29</v>
      </c>
      <c r="B22" s="2">
        <v>22</v>
      </c>
    </row>
    <row r="23" spans="1:2" x14ac:dyDescent="0.35">
      <c r="A23" s="6" t="s">
        <v>127</v>
      </c>
      <c r="B23" s="2">
        <v>85</v>
      </c>
    </row>
    <row r="27" spans="1:2" x14ac:dyDescent="0.35">
      <c r="A27" s="4" t="s">
        <v>136</v>
      </c>
    </row>
    <row r="28" spans="1:2" x14ac:dyDescent="0.35">
      <c r="A28" s="5" t="s">
        <v>126</v>
      </c>
      <c r="B28" t="s">
        <v>133</v>
      </c>
    </row>
    <row r="29" spans="1:2" x14ac:dyDescent="0.35">
      <c r="A29" s="6" t="s">
        <v>7</v>
      </c>
      <c r="B29" s="2">
        <v>1</v>
      </c>
    </row>
    <row r="30" spans="1:2" x14ac:dyDescent="0.35">
      <c r="A30" s="6" t="s">
        <v>114</v>
      </c>
      <c r="B30" s="2">
        <v>13</v>
      </c>
    </row>
    <row r="31" spans="1:2" x14ac:dyDescent="0.35">
      <c r="A31" s="6" t="s">
        <v>115</v>
      </c>
      <c r="B31" s="2">
        <v>14</v>
      </c>
    </row>
    <row r="32" spans="1:2" x14ac:dyDescent="0.35">
      <c r="A32" s="6" t="s">
        <v>22</v>
      </c>
      <c r="B32" s="2">
        <v>25</v>
      </c>
    </row>
    <row r="33" spans="1:2" x14ac:dyDescent="0.35">
      <c r="A33" s="6" t="s">
        <v>127</v>
      </c>
      <c r="B33" s="2">
        <v>53</v>
      </c>
    </row>
    <row r="37" spans="1:2" x14ac:dyDescent="0.35">
      <c r="A37" s="6" t="s">
        <v>137</v>
      </c>
    </row>
    <row r="38" spans="1:2" x14ac:dyDescent="0.35">
      <c r="A38" s="5" t="s">
        <v>126</v>
      </c>
      <c r="B38" t="s">
        <v>128</v>
      </c>
    </row>
    <row r="39" spans="1:2" x14ac:dyDescent="0.35">
      <c r="A39" s="6" t="s">
        <v>3</v>
      </c>
      <c r="B39" s="2">
        <v>1</v>
      </c>
    </row>
    <row r="40" spans="1:2" x14ac:dyDescent="0.35">
      <c r="A40" s="6" t="s">
        <v>99</v>
      </c>
      <c r="B40" s="2">
        <v>16</v>
      </c>
    </row>
    <row r="41" spans="1:2" x14ac:dyDescent="0.35">
      <c r="A41" s="6" t="s">
        <v>19</v>
      </c>
      <c r="B41" s="2">
        <v>17</v>
      </c>
    </row>
    <row r="42" spans="1:2" x14ac:dyDescent="0.35">
      <c r="A42" s="6" t="s">
        <v>98</v>
      </c>
      <c r="B42" s="2">
        <v>25</v>
      </c>
    </row>
    <row r="43" spans="1:2" x14ac:dyDescent="0.35">
      <c r="A43" s="6" t="s">
        <v>37</v>
      </c>
      <c r="B43" s="2">
        <v>26</v>
      </c>
    </row>
    <row r="44" spans="1:2" x14ac:dyDescent="0.35">
      <c r="A44" s="6" t="s">
        <v>127</v>
      </c>
      <c r="B44" s="2">
        <v>85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
  <sheetViews>
    <sheetView workbookViewId="0">
      <selection activeCell="I10" sqref="I10"/>
    </sheetView>
  </sheetViews>
  <sheetFormatPr defaultRowHeight="14.5" x14ac:dyDescent="0.35"/>
  <cols>
    <col min="1" max="1" width="11.81640625" bestFit="1" customWidth="1"/>
    <col min="2" max="2" width="15" bestFit="1" customWidth="1"/>
    <col min="3" max="3" width="10.90625" bestFit="1" customWidth="1"/>
    <col min="4" max="4" width="10.26953125" customWidth="1"/>
    <col min="5" max="5" width="10.453125" bestFit="1" customWidth="1"/>
    <col min="6" max="6" width="13.90625" bestFit="1" customWidth="1"/>
    <col min="7" max="7" width="17.26953125" bestFit="1" customWidth="1"/>
    <col min="8" max="8" width="13.453125" bestFit="1" customWidth="1"/>
  </cols>
  <sheetData>
    <row r="1" spans="1:8" x14ac:dyDescent="0.35">
      <c r="A1" t="s">
        <v>87</v>
      </c>
      <c r="B1" t="s">
        <v>88</v>
      </c>
      <c r="C1" t="s">
        <v>89</v>
      </c>
      <c r="D1" t="s">
        <v>90</v>
      </c>
      <c r="E1" t="s">
        <v>91</v>
      </c>
      <c r="F1" t="s">
        <v>92</v>
      </c>
      <c r="G1" t="s">
        <v>93</v>
      </c>
      <c r="H1" t="s">
        <v>94</v>
      </c>
    </row>
    <row r="2" spans="1:8" x14ac:dyDescent="0.35">
      <c r="A2" s="4" t="s">
        <v>0</v>
      </c>
      <c r="B2" s="4" t="s">
        <v>1</v>
      </c>
      <c r="C2" s="4" t="s">
        <v>2</v>
      </c>
      <c r="D2" s="4" t="s">
        <v>3</v>
      </c>
      <c r="E2" s="4" t="s">
        <v>4</v>
      </c>
      <c r="F2" s="4" t="s">
        <v>5</v>
      </c>
      <c r="G2" s="4" t="s">
        <v>6</v>
      </c>
      <c r="H2" s="4" t="s">
        <v>7</v>
      </c>
    </row>
    <row r="3" spans="1:8" x14ac:dyDescent="0.35">
      <c r="A3" t="s">
        <v>8</v>
      </c>
      <c r="B3" t="s">
        <v>9</v>
      </c>
      <c r="C3" t="s">
        <v>10</v>
      </c>
      <c r="D3" t="s">
        <v>99</v>
      </c>
      <c r="E3" t="s">
        <v>11</v>
      </c>
      <c r="F3" s="3">
        <v>200755.87</v>
      </c>
      <c r="G3" s="3">
        <v>0</v>
      </c>
      <c r="H3" t="s">
        <v>12</v>
      </c>
    </row>
    <row r="4" spans="1:8" x14ac:dyDescent="0.35">
      <c r="A4" t="s">
        <v>13</v>
      </c>
      <c r="B4" t="s">
        <v>14</v>
      </c>
      <c r="C4" t="s">
        <v>15</v>
      </c>
      <c r="D4" t="s">
        <v>98</v>
      </c>
      <c r="E4" t="s">
        <v>100</v>
      </c>
      <c r="F4" s="3">
        <v>499045.51</v>
      </c>
      <c r="G4" s="3">
        <v>3.5</v>
      </c>
      <c r="H4" t="s">
        <v>22</v>
      </c>
    </row>
    <row r="5" spans="1:8" x14ac:dyDescent="0.35">
      <c r="A5" t="s">
        <v>17</v>
      </c>
      <c r="B5" t="s">
        <v>18</v>
      </c>
      <c r="C5" t="s">
        <v>116</v>
      </c>
      <c r="D5" t="s">
        <v>19</v>
      </c>
      <c r="E5" s="1">
        <v>43388</v>
      </c>
      <c r="F5" s="3">
        <v>0</v>
      </c>
      <c r="G5" s="3">
        <v>3.1</v>
      </c>
      <c r="H5" t="s">
        <v>20</v>
      </c>
    </row>
    <row r="6" spans="1:8" x14ac:dyDescent="0.35">
      <c r="A6" t="s">
        <v>21</v>
      </c>
      <c r="B6" t="s">
        <v>9</v>
      </c>
      <c r="C6" t="s">
        <v>96</v>
      </c>
      <c r="D6" t="s">
        <v>98</v>
      </c>
      <c r="E6" s="1">
        <v>44540</v>
      </c>
      <c r="F6" s="3">
        <v>827670.62</v>
      </c>
      <c r="G6" s="3">
        <v>4</v>
      </c>
      <c r="H6" t="s">
        <v>22</v>
      </c>
    </row>
    <row r="7" spans="1:8" x14ac:dyDescent="0.35">
      <c r="A7" t="s">
        <v>23</v>
      </c>
      <c r="B7" t="s">
        <v>24</v>
      </c>
      <c r="C7" t="s">
        <v>116</v>
      </c>
      <c r="D7" t="s">
        <v>99</v>
      </c>
      <c r="E7" t="s">
        <v>25</v>
      </c>
      <c r="F7" s="3">
        <v>132799.34</v>
      </c>
      <c r="G7" s="3">
        <v>0</v>
      </c>
      <c r="H7" t="s">
        <v>20</v>
      </c>
    </row>
    <row r="8" spans="1:8" x14ac:dyDescent="0.35">
      <c r="A8" t="s">
        <v>26</v>
      </c>
      <c r="B8" t="s">
        <v>18</v>
      </c>
      <c r="C8" t="s">
        <v>27</v>
      </c>
      <c r="D8" t="s">
        <v>16</v>
      </c>
      <c r="E8" s="1">
        <v>43514</v>
      </c>
      <c r="F8" s="3">
        <v>0</v>
      </c>
      <c r="G8" s="3">
        <v>3.6</v>
      </c>
      <c r="H8" t="s">
        <v>114</v>
      </c>
    </row>
    <row r="9" spans="1:8" x14ac:dyDescent="0.35">
      <c r="A9" t="s">
        <v>28</v>
      </c>
      <c r="B9" t="s">
        <v>9</v>
      </c>
      <c r="C9" t="s">
        <v>29</v>
      </c>
      <c r="D9" t="s">
        <v>98</v>
      </c>
      <c r="E9" s="1">
        <v>43442</v>
      </c>
      <c r="F9" s="3">
        <v>627957.94999999995</v>
      </c>
      <c r="G9" s="3">
        <v>5</v>
      </c>
      <c r="H9" t="s">
        <v>20</v>
      </c>
    </row>
    <row r="10" spans="1:8" x14ac:dyDescent="0.35">
      <c r="A10" t="s">
        <v>30</v>
      </c>
      <c r="B10" t="s">
        <v>95</v>
      </c>
      <c r="C10" t="s">
        <v>27</v>
      </c>
      <c r="D10" t="s">
        <v>98</v>
      </c>
      <c r="E10" s="1">
        <v>44247</v>
      </c>
      <c r="F10" s="3">
        <v>174927.68</v>
      </c>
      <c r="G10" s="3">
        <v>4</v>
      </c>
      <c r="H10" t="s">
        <v>22</v>
      </c>
    </row>
    <row r="11" spans="1:8" x14ac:dyDescent="0.35">
      <c r="A11" t="s">
        <v>32</v>
      </c>
      <c r="B11" t="s">
        <v>33</v>
      </c>
      <c r="C11" t="s">
        <v>96</v>
      </c>
      <c r="D11" t="s">
        <v>99</v>
      </c>
      <c r="E11" s="1">
        <v>44634</v>
      </c>
      <c r="F11" s="3">
        <v>524589.18999999994</v>
      </c>
      <c r="G11" s="3">
        <v>3.3</v>
      </c>
      <c r="H11" t="s">
        <v>114</v>
      </c>
    </row>
    <row r="12" spans="1:8" x14ac:dyDescent="0.35">
      <c r="A12" t="s">
        <v>28</v>
      </c>
      <c r="B12" t="s">
        <v>24</v>
      </c>
      <c r="C12" t="s">
        <v>10</v>
      </c>
      <c r="D12" t="s">
        <v>19</v>
      </c>
      <c r="E12" t="s">
        <v>34</v>
      </c>
      <c r="F12" s="3">
        <v>0</v>
      </c>
      <c r="G12" s="3">
        <v>4</v>
      </c>
      <c r="H12" t="s">
        <v>12</v>
      </c>
    </row>
    <row r="13" spans="1:8" x14ac:dyDescent="0.35">
      <c r="A13" t="s">
        <v>26</v>
      </c>
      <c r="B13" t="s">
        <v>35</v>
      </c>
      <c r="C13" t="s">
        <v>29</v>
      </c>
      <c r="D13" t="s">
        <v>37</v>
      </c>
      <c r="E13" t="s">
        <v>101</v>
      </c>
      <c r="F13" s="3">
        <v>393356.24</v>
      </c>
      <c r="G13" s="3">
        <v>4</v>
      </c>
      <c r="H13" t="s">
        <v>114</v>
      </c>
    </row>
    <row r="14" spans="1:8" x14ac:dyDescent="0.35">
      <c r="A14" t="s">
        <v>13</v>
      </c>
      <c r="B14" t="s">
        <v>35</v>
      </c>
      <c r="C14" t="s">
        <v>116</v>
      </c>
      <c r="D14" t="s">
        <v>98</v>
      </c>
      <c r="E14" s="1">
        <v>44954</v>
      </c>
      <c r="F14" s="3">
        <v>224356.35</v>
      </c>
      <c r="G14" s="3">
        <v>3.5</v>
      </c>
      <c r="H14" t="s">
        <v>22</v>
      </c>
    </row>
    <row r="15" spans="1:8" x14ac:dyDescent="0.35">
      <c r="A15" t="s">
        <v>36</v>
      </c>
      <c r="B15" t="s">
        <v>9</v>
      </c>
      <c r="C15" t="s">
        <v>97</v>
      </c>
      <c r="D15" t="s">
        <v>37</v>
      </c>
      <c r="E15" t="s">
        <v>117</v>
      </c>
      <c r="F15" s="3">
        <v>256629.01</v>
      </c>
      <c r="G15" s="3">
        <v>0</v>
      </c>
      <c r="H15" t="s">
        <v>115</v>
      </c>
    </row>
    <row r="16" spans="1:8" x14ac:dyDescent="0.35">
      <c r="A16" t="s">
        <v>38</v>
      </c>
      <c r="B16" t="s">
        <v>18</v>
      </c>
      <c r="C16" t="s">
        <v>29</v>
      </c>
      <c r="D16" t="s">
        <v>98</v>
      </c>
      <c r="E16" s="1">
        <v>43728</v>
      </c>
      <c r="F16" s="3">
        <v>573185.1</v>
      </c>
      <c r="G16" s="3">
        <v>0</v>
      </c>
      <c r="H16" t="s">
        <v>115</v>
      </c>
    </row>
    <row r="17" spans="1:8" x14ac:dyDescent="0.35">
      <c r="A17" t="s">
        <v>39</v>
      </c>
      <c r="B17" t="s">
        <v>14</v>
      </c>
      <c r="C17" t="s">
        <v>97</v>
      </c>
      <c r="D17" t="s">
        <v>16</v>
      </c>
      <c r="E17" t="s">
        <v>118</v>
      </c>
      <c r="F17" s="3">
        <v>263467.39</v>
      </c>
      <c r="G17" s="3">
        <v>0</v>
      </c>
      <c r="H17" t="s">
        <v>22</v>
      </c>
    </row>
    <row r="18" spans="1:8" x14ac:dyDescent="0.35">
      <c r="A18" t="s">
        <v>40</v>
      </c>
      <c r="B18" t="s">
        <v>41</v>
      </c>
      <c r="C18" t="s">
        <v>29</v>
      </c>
      <c r="D18" t="s">
        <v>37</v>
      </c>
      <c r="E18" t="s">
        <v>42</v>
      </c>
      <c r="F18" s="3">
        <v>772070.3</v>
      </c>
      <c r="G18" s="3">
        <v>0</v>
      </c>
      <c r="H18" t="s">
        <v>115</v>
      </c>
    </row>
    <row r="19" spans="1:8" x14ac:dyDescent="0.35">
      <c r="A19" t="s">
        <v>43</v>
      </c>
      <c r="B19" t="s">
        <v>41</v>
      </c>
      <c r="C19" t="s">
        <v>29</v>
      </c>
      <c r="D19" t="s">
        <v>98</v>
      </c>
      <c r="E19" s="1">
        <v>44356</v>
      </c>
      <c r="F19" s="3">
        <v>587638.99</v>
      </c>
      <c r="G19" s="3">
        <v>4</v>
      </c>
      <c r="H19" t="s">
        <v>22</v>
      </c>
    </row>
    <row r="20" spans="1:8" x14ac:dyDescent="0.35">
      <c r="A20" t="s">
        <v>44</v>
      </c>
      <c r="B20" t="s">
        <v>35</v>
      </c>
      <c r="C20" t="s">
        <v>10</v>
      </c>
      <c r="D20" t="s">
        <v>37</v>
      </c>
      <c r="E20" s="1">
        <v>43755</v>
      </c>
      <c r="F20" s="3">
        <v>343550.78</v>
      </c>
      <c r="G20" s="3">
        <v>0</v>
      </c>
      <c r="H20" t="s">
        <v>22</v>
      </c>
    </row>
    <row r="21" spans="1:8" x14ac:dyDescent="0.35">
      <c r="A21" t="s">
        <v>45</v>
      </c>
      <c r="B21" t="s">
        <v>9</v>
      </c>
      <c r="C21" t="s">
        <v>97</v>
      </c>
      <c r="D21" t="s">
        <v>99</v>
      </c>
      <c r="E21" t="s">
        <v>46</v>
      </c>
      <c r="F21" s="3">
        <v>360154.89</v>
      </c>
      <c r="G21" s="3">
        <v>4</v>
      </c>
      <c r="H21" t="s">
        <v>12</v>
      </c>
    </row>
    <row r="22" spans="1:8" x14ac:dyDescent="0.35">
      <c r="A22" t="s">
        <v>47</v>
      </c>
      <c r="B22" t="s">
        <v>9</v>
      </c>
      <c r="C22" t="s">
        <v>29</v>
      </c>
      <c r="D22" t="s">
        <v>99</v>
      </c>
      <c r="E22" t="s">
        <v>102</v>
      </c>
      <c r="F22" s="3">
        <v>678881.09</v>
      </c>
      <c r="G22" s="3">
        <v>5</v>
      </c>
      <c r="H22" t="s">
        <v>115</v>
      </c>
    </row>
    <row r="23" spans="1:8" x14ac:dyDescent="0.35">
      <c r="A23" t="s">
        <v>17</v>
      </c>
      <c r="B23" t="s">
        <v>31</v>
      </c>
      <c r="C23" t="s">
        <v>15</v>
      </c>
      <c r="D23" t="s">
        <v>98</v>
      </c>
      <c r="E23" s="1">
        <v>44113</v>
      </c>
      <c r="F23" s="3">
        <v>581167.12</v>
      </c>
      <c r="G23" s="3">
        <v>4</v>
      </c>
      <c r="H23" t="s">
        <v>22</v>
      </c>
    </row>
    <row r="24" spans="1:8" x14ac:dyDescent="0.35">
      <c r="A24" t="s">
        <v>48</v>
      </c>
      <c r="B24" t="s">
        <v>49</v>
      </c>
      <c r="C24" t="s">
        <v>29</v>
      </c>
      <c r="D24" t="s">
        <v>98</v>
      </c>
      <c r="E24" s="1">
        <v>43311</v>
      </c>
      <c r="F24" s="3">
        <v>138001.9</v>
      </c>
      <c r="G24" s="3">
        <v>4</v>
      </c>
      <c r="H24" t="s">
        <v>20</v>
      </c>
    </row>
    <row r="25" spans="1:8" x14ac:dyDescent="0.35">
      <c r="A25" t="s">
        <v>50</v>
      </c>
      <c r="B25" t="s">
        <v>9</v>
      </c>
      <c r="C25" t="s">
        <v>116</v>
      </c>
      <c r="D25" t="s">
        <v>99</v>
      </c>
      <c r="E25" t="s">
        <v>119</v>
      </c>
      <c r="F25" s="3">
        <v>276055.12</v>
      </c>
      <c r="G25" s="3">
        <v>5</v>
      </c>
      <c r="H25" t="s">
        <v>114</v>
      </c>
    </row>
    <row r="26" spans="1:8" x14ac:dyDescent="0.35">
      <c r="A26" t="s">
        <v>51</v>
      </c>
      <c r="B26" t="s">
        <v>52</v>
      </c>
      <c r="C26" t="s">
        <v>27</v>
      </c>
      <c r="D26" t="s">
        <v>99</v>
      </c>
      <c r="E26" s="1">
        <v>44286</v>
      </c>
      <c r="F26" s="3">
        <v>414305.66</v>
      </c>
      <c r="G26" s="3">
        <v>0</v>
      </c>
      <c r="H26" t="s">
        <v>114</v>
      </c>
    </row>
    <row r="27" spans="1:8" x14ac:dyDescent="0.35">
      <c r="A27" t="s">
        <v>8</v>
      </c>
      <c r="B27" t="s">
        <v>49</v>
      </c>
      <c r="C27" t="s">
        <v>10</v>
      </c>
      <c r="D27" t="s">
        <v>19</v>
      </c>
      <c r="E27" s="1">
        <v>44421</v>
      </c>
      <c r="F27" s="3">
        <v>414261.81</v>
      </c>
      <c r="G27" s="3">
        <v>4</v>
      </c>
      <c r="H27" t="s">
        <v>114</v>
      </c>
    </row>
    <row r="28" spans="1:8" x14ac:dyDescent="0.35">
      <c r="A28" t="s">
        <v>53</v>
      </c>
      <c r="B28" t="s">
        <v>24</v>
      </c>
      <c r="C28" t="s">
        <v>29</v>
      </c>
      <c r="D28" t="s">
        <v>37</v>
      </c>
      <c r="E28" t="s">
        <v>54</v>
      </c>
      <c r="F28" s="3">
        <v>580475.34</v>
      </c>
      <c r="G28" s="3">
        <v>5</v>
      </c>
      <c r="H28" t="s">
        <v>20</v>
      </c>
    </row>
    <row r="29" spans="1:8" x14ac:dyDescent="0.35">
      <c r="A29" t="s">
        <v>32</v>
      </c>
      <c r="B29" t="s">
        <v>41</v>
      </c>
      <c r="C29" t="s">
        <v>27</v>
      </c>
      <c r="D29" t="s">
        <v>19</v>
      </c>
      <c r="E29" s="1">
        <v>43288</v>
      </c>
      <c r="F29" s="3">
        <v>0</v>
      </c>
      <c r="G29" s="3">
        <v>2.6</v>
      </c>
      <c r="H29" t="s">
        <v>12</v>
      </c>
    </row>
    <row r="30" spans="1:8" x14ac:dyDescent="0.35">
      <c r="A30" t="s">
        <v>55</v>
      </c>
      <c r="B30" t="s">
        <v>52</v>
      </c>
      <c r="C30" t="s">
        <v>27</v>
      </c>
      <c r="D30" t="s">
        <v>99</v>
      </c>
      <c r="E30" s="1">
        <v>43530</v>
      </c>
      <c r="F30" s="3">
        <v>713409.38</v>
      </c>
      <c r="G30" s="3">
        <v>5</v>
      </c>
      <c r="H30" t="s">
        <v>20</v>
      </c>
    </row>
    <row r="31" spans="1:8" x14ac:dyDescent="0.35">
      <c r="A31" t="s">
        <v>21</v>
      </c>
      <c r="B31" t="s">
        <v>49</v>
      </c>
      <c r="C31" t="s">
        <v>10</v>
      </c>
      <c r="D31" t="s">
        <v>98</v>
      </c>
      <c r="E31" s="1">
        <v>44472</v>
      </c>
      <c r="F31" s="3">
        <v>186020.87</v>
      </c>
      <c r="G31" s="3">
        <v>5</v>
      </c>
      <c r="H31" t="s">
        <v>22</v>
      </c>
    </row>
    <row r="32" spans="1:8" x14ac:dyDescent="0.35">
      <c r="A32" t="s">
        <v>32</v>
      </c>
      <c r="B32" t="s">
        <v>49</v>
      </c>
      <c r="C32" t="s">
        <v>29</v>
      </c>
      <c r="D32" t="s">
        <v>37</v>
      </c>
      <c r="E32" t="s">
        <v>56</v>
      </c>
      <c r="F32" s="3">
        <v>355947.16</v>
      </c>
      <c r="G32" s="3">
        <v>4.5999999999999996</v>
      </c>
      <c r="H32" t="s">
        <v>12</v>
      </c>
    </row>
    <row r="33" spans="1:8" x14ac:dyDescent="0.35">
      <c r="A33" t="s">
        <v>26</v>
      </c>
      <c r="B33" t="s">
        <v>24</v>
      </c>
      <c r="C33" t="s">
        <v>10</v>
      </c>
      <c r="D33" t="s">
        <v>98</v>
      </c>
      <c r="E33" s="1">
        <v>45036</v>
      </c>
      <c r="F33" s="3">
        <v>272395.05</v>
      </c>
      <c r="G33" s="3">
        <v>1.2</v>
      </c>
      <c r="H33" t="s">
        <v>22</v>
      </c>
    </row>
    <row r="34" spans="1:8" x14ac:dyDescent="0.35">
      <c r="A34" t="s">
        <v>57</v>
      </c>
      <c r="B34" t="s">
        <v>24</v>
      </c>
      <c r="C34" t="s">
        <v>10</v>
      </c>
      <c r="D34" t="s">
        <v>99</v>
      </c>
      <c r="E34" t="s">
        <v>120</v>
      </c>
      <c r="F34" s="3">
        <v>153297.13</v>
      </c>
      <c r="G34" s="3">
        <v>0</v>
      </c>
      <c r="H34" t="s">
        <v>20</v>
      </c>
    </row>
    <row r="35" spans="1:8" x14ac:dyDescent="0.35">
      <c r="A35" t="s">
        <v>26</v>
      </c>
      <c r="B35" t="s">
        <v>31</v>
      </c>
      <c r="C35" t="s">
        <v>96</v>
      </c>
      <c r="D35" t="s">
        <v>37</v>
      </c>
      <c r="E35" t="s">
        <v>58</v>
      </c>
      <c r="F35" s="3">
        <v>510477.2</v>
      </c>
      <c r="G35" s="3">
        <v>0</v>
      </c>
      <c r="H35" t="s">
        <v>22</v>
      </c>
    </row>
    <row r="36" spans="1:8" x14ac:dyDescent="0.35">
      <c r="A36" t="s">
        <v>59</v>
      </c>
      <c r="B36" t="s">
        <v>33</v>
      </c>
      <c r="C36" t="s">
        <v>97</v>
      </c>
      <c r="D36" t="s">
        <v>99</v>
      </c>
      <c r="E36" t="s">
        <v>60</v>
      </c>
      <c r="F36" s="3">
        <v>0</v>
      </c>
      <c r="G36" s="3">
        <v>4</v>
      </c>
      <c r="H36" t="s">
        <v>115</v>
      </c>
    </row>
    <row r="37" spans="1:8" x14ac:dyDescent="0.35">
      <c r="A37" t="s">
        <v>61</v>
      </c>
      <c r="B37" t="s">
        <v>31</v>
      </c>
      <c r="C37" t="s">
        <v>96</v>
      </c>
      <c r="D37" t="s">
        <v>37</v>
      </c>
      <c r="E37" t="s">
        <v>62</v>
      </c>
      <c r="F37" s="3">
        <v>436157.71</v>
      </c>
      <c r="G37" s="3">
        <v>0</v>
      </c>
      <c r="H37" t="s">
        <v>22</v>
      </c>
    </row>
    <row r="38" spans="1:8" x14ac:dyDescent="0.35">
      <c r="A38" t="s">
        <v>63</v>
      </c>
      <c r="B38" t="s">
        <v>33</v>
      </c>
      <c r="C38" t="s">
        <v>29</v>
      </c>
      <c r="D38" t="s">
        <v>19</v>
      </c>
      <c r="E38" s="1">
        <v>44752</v>
      </c>
      <c r="F38" s="3">
        <v>733387.69</v>
      </c>
      <c r="G38" s="3">
        <v>4</v>
      </c>
      <c r="H38" t="s">
        <v>20</v>
      </c>
    </row>
    <row r="39" spans="1:8" x14ac:dyDescent="0.35">
      <c r="A39" t="s">
        <v>36</v>
      </c>
      <c r="B39" t="s">
        <v>31</v>
      </c>
      <c r="C39" t="s">
        <v>10</v>
      </c>
      <c r="D39" t="s">
        <v>37</v>
      </c>
      <c r="E39" t="s">
        <v>103</v>
      </c>
      <c r="F39" s="3">
        <v>315382.14</v>
      </c>
      <c r="G39" s="3">
        <v>5</v>
      </c>
      <c r="H39" t="s">
        <v>22</v>
      </c>
    </row>
    <row r="40" spans="1:8" x14ac:dyDescent="0.35">
      <c r="A40" t="s">
        <v>47</v>
      </c>
      <c r="B40" t="s">
        <v>35</v>
      </c>
      <c r="C40" t="s">
        <v>27</v>
      </c>
      <c r="D40" t="s">
        <v>19</v>
      </c>
      <c r="E40" t="s">
        <v>121</v>
      </c>
      <c r="F40" s="3">
        <v>240566.86</v>
      </c>
      <c r="G40" s="3">
        <v>0</v>
      </c>
      <c r="H40" t="s">
        <v>12</v>
      </c>
    </row>
    <row r="41" spans="1:8" x14ac:dyDescent="0.35">
      <c r="A41" t="s">
        <v>39</v>
      </c>
      <c r="B41" t="s">
        <v>14</v>
      </c>
      <c r="C41" t="s">
        <v>97</v>
      </c>
      <c r="D41" t="s">
        <v>19</v>
      </c>
      <c r="E41" s="1">
        <v>44139</v>
      </c>
      <c r="F41" s="3">
        <v>509183.19</v>
      </c>
      <c r="G41" s="3">
        <v>2.8</v>
      </c>
      <c r="H41" t="s">
        <v>115</v>
      </c>
    </row>
    <row r="42" spans="1:8" x14ac:dyDescent="0.35">
      <c r="A42" t="s">
        <v>51</v>
      </c>
      <c r="B42" t="s">
        <v>41</v>
      </c>
      <c r="C42" t="s">
        <v>10</v>
      </c>
      <c r="D42" t="s">
        <v>98</v>
      </c>
      <c r="E42" t="s">
        <v>104</v>
      </c>
      <c r="F42" s="3">
        <v>154971.03</v>
      </c>
      <c r="G42" s="3">
        <v>4</v>
      </c>
      <c r="H42" t="s">
        <v>20</v>
      </c>
    </row>
    <row r="43" spans="1:8" x14ac:dyDescent="0.35">
      <c r="A43" t="s">
        <v>47</v>
      </c>
      <c r="B43" t="s">
        <v>52</v>
      </c>
      <c r="C43" t="s">
        <v>10</v>
      </c>
      <c r="D43" t="s">
        <v>37</v>
      </c>
      <c r="E43" t="s">
        <v>122</v>
      </c>
      <c r="F43" s="3">
        <v>0</v>
      </c>
      <c r="G43" s="3">
        <v>0</v>
      </c>
      <c r="H43" t="s">
        <v>12</v>
      </c>
    </row>
    <row r="44" spans="1:8" x14ac:dyDescent="0.35">
      <c r="A44" t="s">
        <v>51</v>
      </c>
      <c r="B44" t="s">
        <v>14</v>
      </c>
      <c r="C44" t="s">
        <v>15</v>
      </c>
      <c r="D44" t="s">
        <v>37</v>
      </c>
      <c r="E44" t="s">
        <v>105</v>
      </c>
      <c r="F44" s="3">
        <v>314317.09000000003</v>
      </c>
      <c r="G44" s="3">
        <v>5</v>
      </c>
      <c r="H44" t="s">
        <v>12</v>
      </c>
    </row>
    <row r="45" spans="1:8" x14ac:dyDescent="0.35">
      <c r="A45" t="s">
        <v>30</v>
      </c>
      <c r="B45" t="s">
        <v>35</v>
      </c>
      <c r="C45" t="s">
        <v>27</v>
      </c>
      <c r="D45" t="s">
        <v>37</v>
      </c>
      <c r="E45" s="1">
        <v>43902</v>
      </c>
      <c r="F45" s="3">
        <v>719091.18</v>
      </c>
      <c r="G45" s="3">
        <v>3.5</v>
      </c>
      <c r="H45" t="s">
        <v>114</v>
      </c>
    </row>
    <row r="46" spans="1:8" x14ac:dyDescent="0.35">
      <c r="A46" t="s">
        <v>47</v>
      </c>
      <c r="B46" t="s">
        <v>18</v>
      </c>
      <c r="C46" t="s">
        <v>96</v>
      </c>
      <c r="D46" t="s">
        <v>19</v>
      </c>
      <c r="E46" t="s">
        <v>64</v>
      </c>
      <c r="F46" s="3">
        <v>674254.26</v>
      </c>
      <c r="G46" s="3">
        <v>3.1</v>
      </c>
      <c r="H46" t="s">
        <v>20</v>
      </c>
    </row>
    <row r="47" spans="1:8" x14ac:dyDescent="0.35">
      <c r="A47" t="s">
        <v>8</v>
      </c>
      <c r="B47" t="s">
        <v>18</v>
      </c>
      <c r="C47" t="s">
        <v>29</v>
      </c>
      <c r="D47" t="s">
        <v>19</v>
      </c>
      <c r="E47" t="s">
        <v>65</v>
      </c>
      <c r="F47" s="3">
        <v>380854.83</v>
      </c>
      <c r="G47" s="3">
        <v>0</v>
      </c>
      <c r="H47" t="s">
        <v>22</v>
      </c>
    </row>
    <row r="48" spans="1:8" x14ac:dyDescent="0.35">
      <c r="A48" t="s">
        <v>28</v>
      </c>
      <c r="B48" t="s">
        <v>33</v>
      </c>
      <c r="C48" t="s">
        <v>27</v>
      </c>
      <c r="D48" t="s">
        <v>37</v>
      </c>
      <c r="E48" s="1">
        <v>43275</v>
      </c>
      <c r="F48" s="3">
        <v>739490.64</v>
      </c>
      <c r="G48" s="3">
        <v>3.5</v>
      </c>
      <c r="H48" t="s">
        <v>12</v>
      </c>
    </row>
    <row r="49" spans="1:8" x14ac:dyDescent="0.35">
      <c r="A49" t="s">
        <v>21</v>
      </c>
      <c r="B49" t="s">
        <v>49</v>
      </c>
      <c r="C49" t="s">
        <v>116</v>
      </c>
      <c r="D49" t="s">
        <v>99</v>
      </c>
      <c r="E49" s="1">
        <v>44384</v>
      </c>
      <c r="F49" s="3">
        <v>271361.71000000002</v>
      </c>
      <c r="G49" s="3">
        <v>5</v>
      </c>
      <c r="H49" t="s">
        <v>12</v>
      </c>
    </row>
    <row r="50" spans="1:8" x14ac:dyDescent="0.35">
      <c r="A50" t="s">
        <v>13</v>
      </c>
      <c r="B50" t="s">
        <v>31</v>
      </c>
      <c r="C50" t="s">
        <v>10</v>
      </c>
      <c r="D50" t="s">
        <v>98</v>
      </c>
      <c r="E50" s="1">
        <v>43263</v>
      </c>
      <c r="F50" s="3">
        <v>354274.69</v>
      </c>
      <c r="G50" s="3">
        <v>5</v>
      </c>
      <c r="H50" t="s">
        <v>12</v>
      </c>
    </row>
    <row r="51" spans="1:8" x14ac:dyDescent="0.35">
      <c r="A51" t="s">
        <v>50</v>
      </c>
      <c r="B51" t="s">
        <v>9</v>
      </c>
      <c r="C51" t="s">
        <v>10</v>
      </c>
      <c r="D51" t="s">
        <v>19</v>
      </c>
      <c r="E51" t="s">
        <v>106</v>
      </c>
      <c r="F51" s="3">
        <v>507753.17</v>
      </c>
      <c r="G51" s="3">
        <v>1.6</v>
      </c>
      <c r="H51" t="s">
        <v>114</v>
      </c>
    </row>
    <row r="52" spans="1:8" x14ac:dyDescent="0.35">
      <c r="A52" t="s">
        <v>44</v>
      </c>
      <c r="B52" t="s">
        <v>9</v>
      </c>
      <c r="C52" t="s">
        <v>29</v>
      </c>
      <c r="D52" t="s">
        <v>19</v>
      </c>
      <c r="E52" t="s">
        <v>66</v>
      </c>
      <c r="F52" s="3">
        <v>264337.69</v>
      </c>
      <c r="G52" s="3">
        <v>3.5</v>
      </c>
      <c r="H52" t="s">
        <v>114</v>
      </c>
    </row>
    <row r="53" spans="1:8" x14ac:dyDescent="0.35">
      <c r="A53" t="s">
        <v>67</v>
      </c>
      <c r="B53" t="s">
        <v>31</v>
      </c>
      <c r="C53" t="s">
        <v>10</v>
      </c>
      <c r="D53" t="s">
        <v>98</v>
      </c>
      <c r="E53" t="s">
        <v>68</v>
      </c>
      <c r="F53" s="3">
        <v>416139.86</v>
      </c>
      <c r="G53" s="3">
        <v>3.5</v>
      </c>
      <c r="H53" t="s">
        <v>115</v>
      </c>
    </row>
    <row r="54" spans="1:8" x14ac:dyDescent="0.35">
      <c r="A54" t="s">
        <v>69</v>
      </c>
      <c r="B54" t="s">
        <v>52</v>
      </c>
      <c r="C54" t="s">
        <v>10</v>
      </c>
      <c r="D54" t="s">
        <v>37</v>
      </c>
      <c r="E54" t="s">
        <v>107</v>
      </c>
      <c r="F54" s="3">
        <v>686046.96</v>
      </c>
      <c r="G54" s="3">
        <v>4</v>
      </c>
      <c r="H54" t="s">
        <v>12</v>
      </c>
    </row>
    <row r="55" spans="1:8" x14ac:dyDescent="0.35">
      <c r="A55" t="s">
        <v>63</v>
      </c>
      <c r="B55" t="s">
        <v>41</v>
      </c>
      <c r="C55" t="s">
        <v>15</v>
      </c>
      <c r="D55" t="s">
        <v>98</v>
      </c>
      <c r="E55" t="s">
        <v>70</v>
      </c>
      <c r="F55" s="3">
        <v>710594.74</v>
      </c>
      <c r="G55" s="3">
        <v>3.5</v>
      </c>
      <c r="H55" t="s">
        <v>115</v>
      </c>
    </row>
    <row r="56" spans="1:8" x14ac:dyDescent="0.35">
      <c r="A56" t="s">
        <v>71</v>
      </c>
      <c r="B56" t="s">
        <v>35</v>
      </c>
      <c r="C56" t="s">
        <v>10</v>
      </c>
      <c r="D56" t="s">
        <v>99</v>
      </c>
      <c r="E56" t="s">
        <v>72</v>
      </c>
      <c r="F56" s="3">
        <v>0</v>
      </c>
      <c r="G56" s="3">
        <v>3.5</v>
      </c>
      <c r="H56" t="s">
        <v>20</v>
      </c>
    </row>
    <row r="57" spans="1:8" x14ac:dyDescent="0.35">
      <c r="A57" t="s">
        <v>55</v>
      </c>
      <c r="B57" t="s">
        <v>49</v>
      </c>
      <c r="C57" t="s">
        <v>10</v>
      </c>
      <c r="D57" t="s">
        <v>19</v>
      </c>
      <c r="E57" t="s">
        <v>73</v>
      </c>
      <c r="F57" s="3">
        <v>598351.28</v>
      </c>
      <c r="G57" s="3">
        <v>3.5</v>
      </c>
      <c r="H57" t="s">
        <v>114</v>
      </c>
    </row>
    <row r="58" spans="1:8" x14ac:dyDescent="0.35">
      <c r="A58" t="s">
        <v>74</v>
      </c>
      <c r="B58" t="s">
        <v>49</v>
      </c>
      <c r="C58" t="s">
        <v>29</v>
      </c>
      <c r="D58" t="s">
        <v>98</v>
      </c>
      <c r="E58" t="s">
        <v>75</v>
      </c>
      <c r="F58" s="3">
        <v>0</v>
      </c>
      <c r="G58" s="3">
        <v>5</v>
      </c>
      <c r="H58" t="s">
        <v>22</v>
      </c>
    </row>
    <row r="59" spans="1:8" x14ac:dyDescent="0.35">
      <c r="A59" t="s">
        <v>47</v>
      </c>
      <c r="B59" t="s">
        <v>18</v>
      </c>
      <c r="C59" t="s">
        <v>27</v>
      </c>
      <c r="D59" t="s">
        <v>19</v>
      </c>
      <c r="E59" s="1">
        <v>43561</v>
      </c>
      <c r="F59" s="3">
        <v>764894.8</v>
      </c>
      <c r="G59" s="3">
        <v>5</v>
      </c>
      <c r="H59" t="s">
        <v>114</v>
      </c>
    </row>
    <row r="60" spans="1:8" x14ac:dyDescent="0.35">
      <c r="A60" t="s">
        <v>13</v>
      </c>
      <c r="B60" t="s">
        <v>52</v>
      </c>
      <c r="C60" t="s">
        <v>15</v>
      </c>
      <c r="D60" t="s">
        <v>37</v>
      </c>
      <c r="E60" t="s">
        <v>108</v>
      </c>
      <c r="F60" s="3">
        <v>316999.12</v>
      </c>
      <c r="G60" s="3">
        <v>4</v>
      </c>
      <c r="H60" t="s">
        <v>115</v>
      </c>
    </row>
    <row r="61" spans="1:8" x14ac:dyDescent="0.35">
      <c r="A61" t="s">
        <v>47</v>
      </c>
      <c r="B61" t="s">
        <v>14</v>
      </c>
      <c r="C61" t="s">
        <v>10</v>
      </c>
      <c r="D61" t="s">
        <v>37</v>
      </c>
      <c r="E61" s="1">
        <v>44096</v>
      </c>
      <c r="F61" s="3">
        <v>386456.51</v>
      </c>
      <c r="G61" s="3">
        <v>0</v>
      </c>
      <c r="H61" t="s">
        <v>115</v>
      </c>
    </row>
    <row r="62" spans="1:8" x14ac:dyDescent="0.35">
      <c r="A62" t="s">
        <v>28</v>
      </c>
      <c r="B62" t="s">
        <v>9</v>
      </c>
      <c r="C62" t="s">
        <v>29</v>
      </c>
      <c r="D62" t="s">
        <v>37</v>
      </c>
      <c r="E62" t="s">
        <v>76</v>
      </c>
      <c r="F62" s="3">
        <v>499720.14</v>
      </c>
      <c r="G62" s="3">
        <v>5</v>
      </c>
      <c r="H62" t="s">
        <v>12</v>
      </c>
    </row>
    <row r="63" spans="1:8" x14ac:dyDescent="0.35">
      <c r="A63" t="s">
        <v>48</v>
      </c>
      <c r="B63" t="s">
        <v>9</v>
      </c>
      <c r="C63" t="s">
        <v>29</v>
      </c>
      <c r="D63" t="s">
        <v>99</v>
      </c>
      <c r="E63" s="1">
        <v>44637</v>
      </c>
      <c r="F63" s="3">
        <v>451511.37</v>
      </c>
      <c r="G63" s="3">
        <v>4</v>
      </c>
      <c r="H63" t="s">
        <v>22</v>
      </c>
    </row>
    <row r="64" spans="1:8" x14ac:dyDescent="0.35">
      <c r="A64" t="s">
        <v>26</v>
      </c>
      <c r="B64" t="s">
        <v>35</v>
      </c>
      <c r="C64" t="s">
        <v>29</v>
      </c>
      <c r="D64" t="s">
        <v>99</v>
      </c>
      <c r="E64" s="1">
        <v>43515</v>
      </c>
      <c r="F64" s="3">
        <v>484326.75</v>
      </c>
      <c r="G64" s="3">
        <v>5</v>
      </c>
      <c r="H64" t="s">
        <v>22</v>
      </c>
    </row>
    <row r="65" spans="1:8" x14ac:dyDescent="0.35">
      <c r="A65" t="s">
        <v>36</v>
      </c>
      <c r="B65" t="s">
        <v>35</v>
      </c>
      <c r="C65" t="s">
        <v>97</v>
      </c>
      <c r="D65" t="s">
        <v>98</v>
      </c>
      <c r="E65" t="s">
        <v>77</v>
      </c>
      <c r="F65" s="3">
        <v>665849.57999999996</v>
      </c>
      <c r="G65" s="3">
        <v>3.5</v>
      </c>
      <c r="H65" t="s">
        <v>20</v>
      </c>
    </row>
    <row r="66" spans="1:8" x14ac:dyDescent="0.35">
      <c r="A66" t="s">
        <v>48</v>
      </c>
      <c r="B66" t="s">
        <v>9</v>
      </c>
      <c r="C66" t="s">
        <v>116</v>
      </c>
      <c r="D66" t="s">
        <v>37</v>
      </c>
      <c r="E66" s="1">
        <v>44195</v>
      </c>
      <c r="F66" s="3">
        <v>291386.59999999998</v>
      </c>
      <c r="G66" s="3">
        <v>3.5</v>
      </c>
      <c r="H66" t="s">
        <v>115</v>
      </c>
    </row>
    <row r="67" spans="1:8" x14ac:dyDescent="0.35">
      <c r="A67" t="s">
        <v>78</v>
      </c>
      <c r="B67" t="s">
        <v>14</v>
      </c>
      <c r="C67" t="s">
        <v>97</v>
      </c>
      <c r="D67" t="s">
        <v>19</v>
      </c>
      <c r="E67" t="s">
        <v>79</v>
      </c>
      <c r="F67" s="3">
        <v>838877.7</v>
      </c>
      <c r="G67" s="3">
        <v>3.5</v>
      </c>
      <c r="H67" t="s">
        <v>22</v>
      </c>
    </row>
    <row r="68" spans="1:8" x14ac:dyDescent="0.35">
      <c r="A68" t="s">
        <v>21</v>
      </c>
      <c r="B68" t="s">
        <v>31</v>
      </c>
      <c r="C68" t="s">
        <v>15</v>
      </c>
      <c r="D68" t="s">
        <v>37</v>
      </c>
      <c r="E68" t="s">
        <v>109</v>
      </c>
      <c r="F68" s="3">
        <v>234129.89</v>
      </c>
      <c r="G68" s="3">
        <v>5</v>
      </c>
      <c r="H68" t="s">
        <v>22</v>
      </c>
    </row>
    <row r="69" spans="1:8" x14ac:dyDescent="0.35">
      <c r="A69" t="s">
        <v>23</v>
      </c>
      <c r="B69" t="s">
        <v>14</v>
      </c>
      <c r="C69" t="s">
        <v>29</v>
      </c>
      <c r="D69" t="s">
        <v>37</v>
      </c>
      <c r="E69" t="s">
        <v>110</v>
      </c>
      <c r="F69" s="3">
        <v>808879.07</v>
      </c>
      <c r="G69" s="3">
        <v>3.5</v>
      </c>
      <c r="H69" t="s">
        <v>114</v>
      </c>
    </row>
    <row r="70" spans="1:8" x14ac:dyDescent="0.35">
      <c r="A70" t="s">
        <v>80</v>
      </c>
      <c r="B70" t="s">
        <v>49</v>
      </c>
      <c r="C70" t="s">
        <v>96</v>
      </c>
      <c r="D70" t="s">
        <v>37</v>
      </c>
      <c r="E70" t="s">
        <v>81</v>
      </c>
      <c r="F70" s="3">
        <v>325779.5</v>
      </c>
      <c r="G70" s="3">
        <v>4</v>
      </c>
      <c r="H70" t="s">
        <v>115</v>
      </c>
    </row>
    <row r="71" spans="1:8" x14ac:dyDescent="0.35">
      <c r="A71" t="s">
        <v>51</v>
      </c>
      <c r="B71" t="s">
        <v>9</v>
      </c>
      <c r="C71" t="s">
        <v>27</v>
      </c>
      <c r="D71" t="s">
        <v>37</v>
      </c>
      <c r="E71" t="s">
        <v>82</v>
      </c>
      <c r="F71" s="3">
        <v>807792.26</v>
      </c>
      <c r="G71" s="3">
        <v>5</v>
      </c>
      <c r="H71" t="s">
        <v>22</v>
      </c>
    </row>
    <row r="72" spans="1:8" x14ac:dyDescent="0.35">
      <c r="A72" t="s">
        <v>83</v>
      </c>
      <c r="B72" t="s">
        <v>24</v>
      </c>
      <c r="C72" t="s">
        <v>27</v>
      </c>
      <c r="D72" t="s">
        <v>19</v>
      </c>
      <c r="E72" t="s">
        <v>123</v>
      </c>
      <c r="F72" s="3">
        <v>476703.12</v>
      </c>
      <c r="G72" s="3">
        <v>0</v>
      </c>
      <c r="H72" t="s">
        <v>22</v>
      </c>
    </row>
    <row r="73" spans="1:8" x14ac:dyDescent="0.35">
      <c r="A73" t="s">
        <v>21</v>
      </c>
      <c r="B73" t="s">
        <v>14</v>
      </c>
      <c r="C73" t="s">
        <v>29</v>
      </c>
      <c r="D73" t="s">
        <v>98</v>
      </c>
      <c r="E73" s="1">
        <v>44201</v>
      </c>
      <c r="F73" s="3">
        <v>669798.6</v>
      </c>
      <c r="G73" s="3">
        <v>4</v>
      </c>
      <c r="H73" t="s">
        <v>22</v>
      </c>
    </row>
    <row r="74" spans="1:8" x14ac:dyDescent="0.35">
      <c r="A74" t="s">
        <v>47</v>
      </c>
      <c r="B74" t="s">
        <v>9</v>
      </c>
      <c r="C74" t="s">
        <v>96</v>
      </c>
      <c r="D74" t="s">
        <v>37</v>
      </c>
      <c r="E74" t="s">
        <v>111</v>
      </c>
      <c r="F74" s="3">
        <v>717143.03</v>
      </c>
      <c r="G74" s="3">
        <v>2.1</v>
      </c>
      <c r="H74" t="s">
        <v>20</v>
      </c>
    </row>
    <row r="75" spans="1:8" x14ac:dyDescent="0.35">
      <c r="A75" t="s">
        <v>28</v>
      </c>
      <c r="B75" t="s">
        <v>33</v>
      </c>
      <c r="C75" t="s">
        <v>10</v>
      </c>
      <c r="D75" t="s">
        <v>98</v>
      </c>
      <c r="E75" s="1">
        <v>44562</v>
      </c>
      <c r="F75" s="3">
        <v>816851.2</v>
      </c>
      <c r="G75" s="3">
        <v>0</v>
      </c>
      <c r="H75" t="s">
        <v>114</v>
      </c>
    </row>
    <row r="76" spans="1:8" x14ac:dyDescent="0.35">
      <c r="A76" t="s">
        <v>74</v>
      </c>
      <c r="B76" t="s">
        <v>31</v>
      </c>
      <c r="C76" t="s">
        <v>29</v>
      </c>
      <c r="D76" t="s">
        <v>37</v>
      </c>
      <c r="E76" t="s">
        <v>84</v>
      </c>
      <c r="F76" s="3">
        <v>728442.08</v>
      </c>
      <c r="G76" s="3">
        <v>3.5</v>
      </c>
      <c r="H76" t="s">
        <v>22</v>
      </c>
    </row>
    <row r="77" spans="1:8" x14ac:dyDescent="0.35">
      <c r="A77" t="s">
        <v>80</v>
      </c>
      <c r="B77" t="s">
        <v>35</v>
      </c>
      <c r="C77" t="s">
        <v>116</v>
      </c>
      <c r="D77" t="s">
        <v>16</v>
      </c>
      <c r="E77" t="s">
        <v>124</v>
      </c>
      <c r="F77" s="3">
        <v>423185.34</v>
      </c>
      <c r="G77" s="3">
        <v>4</v>
      </c>
      <c r="H77" t="s">
        <v>115</v>
      </c>
    </row>
    <row r="78" spans="1:8" x14ac:dyDescent="0.35">
      <c r="A78" t="s">
        <v>17</v>
      </c>
      <c r="B78" t="s">
        <v>18</v>
      </c>
      <c r="C78" t="s">
        <v>29</v>
      </c>
      <c r="D78" t="s">
        <v>37</v>
      </c>
      <c r="E78" s="1">
        <v>43985</v>
      </c>
      <c r="F78" s="3">
        <v>165999.24</v>
      </c>
      <c r="G78" s="3">
        <v>1.2</v>
      </c>
      <c r="H78" t="s">
        <v>115</v>
      </c>
    </row>
    <row r="79" spans="1:8" x14ac:dyDescent="0.35">
      <c r="A79" t="s">
        <v>47</v>
      </c>
      <c r="B79" t="s">
        <v>49</v>
      </c>
      <c r="C79" t="s">
        <v>15</v>
      </c>
      <c r="D79" t="s">
        <v>99</v>
      </c>
      <c r="E79" s="1">
        <v>44807</v>
      </c>
      <c r="F79" s="3">
        <v>0</v>
      </c>
      <c r="G79" s="3">
        <v>5</v>
      </c>
      <c r="H79" t="s">
        <v>20</v>
      </c>
    </row>
    <row r="80" spans="1:8" x14ac:dyDescent="0.35">
      <c r="A80" t="s">
        <v>44</v>
      </c>
      <c r="B80" t="s">
        <v>35</v>
      </c>
      <c r="C80" t="s">
        <v>116</v>
      </c>
      <c r="D80" t="s">
        <v>19</v>
      </c>
      <c r="E80" s="1">
        <v>44681</v>
      </c>
      <c r="F80" s="3">
        <v>674184.71</v>
      </c>
      <c r="G80">
        <v>0</v>
      </c>
      <c r="H80" t="s">
        <v>20</v>
      </c>
    </row>
    <row r="81" spans="1:8" x14ac:dyDescent="0.35">
      <c r="A81" t="s">
        <v>85</v>
      </c>
      <c r="B81" t="s">
        <v>35</v>
      </c>
      <c r="C81" t="s">
        <v>10</v>
      </c>
      <c r="D81" t="s">
        <v>19</v>
      </c>
      <c r="E81" t="s">
        <v>112</v>
      </c>
      <c r="F81" s="3">
        <v>302916.15000000002</v>
      </c>
      <c r="G81" s="3">
        <v>4</v>
      </c>
      <c r="H81" t="s">
        <v>20</v>
      </c>
    </row>
    <row r="82" spans="1:8" x14ac:dyDescent="0.35">
      <c r="A82" t="s">
        <v>47</v>
      </c>
      <c r="B82" t="s">
        <v>24</v>
      </c>
      <c r="C82" t="s">
        <v>29</v>
      </c>
      <c r="D82" t="s">
        <v>98</v>
      </c>
      <c r="E82" t="s">
        <v>125</v>
      </c>
      <c r="F82" s="3">
        <v>0</v>
      </c>
      <c r="G82" s="3">
        <v>5</v>
      </c>
      <c r="H82" t="s">
        <v>20</v>
      </c>
    </row>
    <row r="83" spans="1:8" x14ac:dyDescent="0.35">
      <c r="A83" t="s">
        <v>28</v>
      </c>
      <c r="B83" t="s">
        <v>31</v>
      </c>
      <c r="C83" t="s">
        <v>97</v>
      </c>
      <c r="D83" t="s">
        <v>98</v>
      </c>
      <c r="E83" s="1">
        <v>43365</v>
      </c>
      <c r="F83" s="3">
        <v>517268.61</v>
      </c>
      <c r="G83" s="3">
        <v>4.5</v>
      </c>
      <c r="H83" t="s">
        <v>12</v>
      </c>
    </row>
    <row r="84" spans="1:8" x14ac:dyDescent="0.35">
      <c r="A84" t="s">
        <v>57</v>
      </c>
      <c r="B84" t="s">
        <v>31</v>
      </c>
      <c r="C84" t="s">
        <v>116</v>
      </c>
      <c r="D84" t="s">
        <v>99</v>
      </c>
      <c r="E84" s="1">
        <v>44767</v>
      </c>
      <c r="F84" s="3">
        <v>304181.40999999997</v>
      </c>
      <c r="G84" s="2">
        <v>3.5</v>
      </c>
      <c r="H84" t="s">
        <v>22</v>
      </c>
    </row>
    <row r="85" spans="1:8" x14ac:dyDescent="0.35">
      <c r="A85" t="s">
        <v>57</v>
      </c>
      <c r="B85" t="s">
        <v>33</v>
      </c>
      <c r="C85" t="s">
        <v>29</v>
      </c>
      <c r="D85" t="s">
        <v>98</v>
      </c>
      <c r="E85" t="s">
        <v>86</v>
      </c>
      <c r="F85" s="3">
        <v>349350.07</v>
      </c>
      <c r="G85" s="3">
        <v>2.4</v>
      </c>
      <c r="H85" t="s">
        <v>22</v>
      </c>
    </row>
    <row r="86" spans="1:8" x14ac:dyDescent="0.35">
      <c r="A86" t="s">
        <v>21</v>
      </c>
      <c r="B86" t="s">
        <v>31</v>
      </c>
      <c r="C86" t="s">
        <v>10</v>
      </c>
      <c r="D86" t="s">
        <v>37</v>
      </c>
      <c r="E86" t="s">
        <v>113</v>
      </c>
      <c r="F86" s="3">
        <v>566559.6</v>
      </c>
      <c r="G86" s="3">
        <v>2.2999999999999998</v>
      </c>
      <c r="H86" t="s">
        <v>20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8993-C5D6-4009-862E-9819FAA9ECA0}">
  <dimension ref="A1"/>
  <sheetViews>
    <sheetView workbookViewId="0">
      <selection activeCell="J5" sqref="J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Original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Aliyu Isah</cp:lastModifiedBy>
  <dcterms:created xsi:type="dcterms:W3CDTF">2026-02-23T17:54:58Z</dcterms:created>
  <dcterms:modified xsi:type="dcterms:W3CDTF">2026-04-12T22:11:25Z</dcterms:modified>
</cp:coreProperties>
</file>